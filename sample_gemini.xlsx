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eb" sheetId="1" state="visible" r:id="rId1"/>
    <sheet name="jan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charset val="134"/>
      <b val="1"/>
      <sz val="14"/>
    </font>
    <font>
      <name val="Calibri"/>
      <charset val="134"/>
      <sz val="11"/>
      <scheme val="minor"/>
    </font>
    <font>
      <name val="Calibri"/>
      <charset val="134"/>
      <b val="1"/>
      <sz val="11"/>
      <scheme val="minor"/>
    </font>
    <font>
      <name val="Times New Roman"/>
      <charset val="134"/>
      <b val="1"/>
      <sz val="12"/>
    </font>
    <font>
      <name val="Calibri"/>
      <family val="2"/>
      <sz val="11"/>
      <scheme val="minor"/>
    </font>
    <font>
      <name val="Times New Roman"/>
      <family val="1"/>
      <sz val="11"/>
    </font>
    <font>
      <name val="Calibri 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26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/>
    </xf>
    <xf numFmtId="164" fontId="1" fillId="0" borderId="0" pivotButton="0" quotePrefix="0" xfId="1"/>
    <xf numFmtId="164" fontId="1" fillId="0" borderId="0" applyAlignment="1" pivotButton="0" quotePrefix="0" xfId="1">
      <alignment horizontal="center" vertical="center" wrapText="1"/>
    </xf>
    <xf numFmtId="164" fontId="1" fillId="0" borderId="0" applyAlignment="1" pivotButton="0" quotePrefix="0" xfId="1">
      <alignment horizontal="center" wrapText="1"/>
    </xf>
    <xf numFmtId="164" fontId="3" fillId="0" borderId="0" pivotButton="0" quotePrefix="0" xfId="0"/>
    <xf numFmtId="164" fontId="1" fillId="0" borderId="0" applyAlignment="1" pivotButton="0" quotePrefix="0" xfId="1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43" fontId="1" fillId="0" borderId="0" pivotButton="0" quotePrefix="0" xfId="1"/>
    <xf numFmtId="43" fontId="0" fillId="0" borderId="0" pivotButton="0" quotePrefix="0" xfId="1"/>
    <xf numFmtId="43" fontId="0" fillId="0" borderId="0" pivotButton="0" quotePrefix="0" xfId="1"/>
    <xf numFmtId="43" fontId="1" fillId="0" borderId="0" pivotButton="0" quotePrefix="0" xfId="1"/>
    <xf numFmtId="164" fontId="1" fillId="0" borderId="0" applyAlignment="1" pivotButton="0" quotePrefix="0" xfId="1">
      <alignment horizontal="left" vertical="center"/>
    </xf>
    <xf numFmtId="164" fontId="1" fillId="0" borderId="0" pivotButton="0" quotePrefix="0" xfId="1"/>
    <xf numFmtId="164" fontId="1" fillId="0" borderId="0" applyAlignment="1" pivotButton="0" quotePrefix="0" xfId="1">
      <alignment horizontal="center" vertical="center" wrapText="1"/>
    </xf>
    <xf numFmtId="164" fontId="1" fillId="0" borderId="0" applyAlignment="1" pivotButton="0" quotePrefix="0" xfId="1">
      <alignment horizontal="center" wrapText="1"/>
    </xf>
    <xf numFmtId="164" fontId="3" fillId="0" borderId="0" pivotButton="0" quotePrefix="0" xfId="0"/>
  </cellXfs>
  <cellStyles count="2">
    <cellStyle name="Normal" xfId="0" builtinId="0"/>
    <cellStyle name="Comma" xfId="1" builtinId="3"/>
  </cellStyles>
  <dxfs count="724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 * #,##0.00_ ;_ * \-#,##0.00_ ;_ * &quot;-&quot;??_ ;_ @_ "/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font>
        <name val="Times New Roman"/>
        <family val="1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font>
        <name val="Calibri 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numFmt numFmtId="35" formatCode="_ * #,##0.00_ ;_ * \-#,##0.00_ ;_ * &quot;-&quot;??_ ;_ @_ "/>
      <alignment horizontal="left" vertical="center"/>
    </dxf>
    <dxf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9" displayName="Table9" ref="A1:D8" headerRowCount="1" headerRowCellStyle="Comma" dataCellStyle="Comma">
  <autoFilter ref="A1:D8"/>
  <tableColumns count="4">
    <tableColumn id="1" name="Name" totalsRowLabel="Total" totalsRowDxfId="723" dataCellStyle="Comma"/>
    <tableColumn id="2" name="SOHANJI" totalsRowDxfId="722" dataCellStyle="Comma"/>
    <tableColumn id="3" name="ALWN.CO" totalsRowDxfId="721" dataCellStyle="Comma"/>
    <tableColumn id="4" name="2026-01-04" totalsRowFunction="count" totalsRowDxfId="720" dataCellStyle="Comma"/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id="2" name="Table10" displayName="Table10" ref="A10:D17" headerRowCount="1" totalsRowShown="0" headerRowCellStyle="Comma" dataCellStyle="Comma">
  <autoFilter ref="A10:D17"/>
  <tableColumns count="4">
    <tableColumn id="1" name="Name" dataCellStyle="Comma"/>
    <tableColumn id="2" name="JIVARAMJI" dataCellStyle="Comma"/>
    <tableColumn id="3" name="YAMJAL" dataCellStyle="Comma"/>
    <tableColumn id="4" name="2026-01-04" dataCellStyle="Comma"/>
  </tableColumns>
  <tableStyleInfo name="TableStyleMedium25" showFirstColumn="0" showLastColumn="0" showRowStripes="1" showColumnStripes="0"/>
</table>
</file>

<file path=xl/tables/table3.xml><?xml version="1.0" encoding="utf-8"?>
<table xmlns="http://schemas.openxmlformats.org/spreadsheetml/2006/main" id="3" name="Table11" displayName="Table11" ref="F1:I8" headerRowCount="1" totalsRowShown="0" headerRowDxfId="719" dataDxfId="718" dataCellStyle="Comma">
  <autoFilter ref="F1:I8"/>
  <tableColumns count="4">
    <tableColumn id="1" name="NAME" dataDxfId="717" dataCellStyle="Comma"/>
    <tableColumn id="2" name="SURESH" dataDxfId="716" dataCellStyle="Comma"/>
    <tableColumn id="3" name="JODHPUR" dataDxfId="715" dataCellStyle="Comma"/>
    <tableColumn id="4" name="2026-01-04" dataDxfId="714" dataCellStyle="Comma"/>
  </tableColumns>
  <tableStyleInfo name="TableStyleMedium25" showFirstColumn="0" showLastColumn="0" showRowStripes="1" showColumnStripes="0"/>
</table>
</file>

<file path=xl/tables/table4.xml><?xml version="1.0" encoding="utf-8"?>
<table xmlns="http://schemas.openxmlformats.org/spreadsheetml/2006/main" id="4" name="Table13" displayName="Table13" ref="F10:I17" headerRowCount="1" totalsRowShown="0" headerRowDxfId="713" dataDxfId="712" headerRowCellStyle="Comma" dataCellStyle="Comma">
  <autoFilter ref="F10:I17"/>
  <tableColumns count="4">
    <tableColumn id="1" name="Name" dataDxfId="711" dataCellStyle="Comma"/>
    <tableColumn id="2" name="BHAWARJI" dataDxfId="710" dataCellStyle="Comma"/>
    <tableColumn id="3" name="BAJPLY" dataDxfId="709" dataCellStyle="Comma"/>
    <tableColumn id="4" name="2026-01-04" dataDxfId="708" dataCellStyle="Comma"/>
  </tableColumns>
  <tableStyleInfo name="TableStyleMedium25" showFirstColumn="0" showLastColumn="0" showRowStripes="1" showColumnStripes="0"/>
</table>
</file>

<file path=xl/tables/table5.xml><?xml version="1.0" encoding="utf-8"?>
<table xmlns="http://schemas.openxmlformats.org/spreadsheetml/2006/main" id="5" name="Table14" displayName="Table14" ref="A19:D26" headerRowCount="1" totalsRowShown="0" headerRowCellStyle="Comma" dataCellStyle="Comma">
  <autoFilter ref="A19:D26"/>
  <tableColumns count="4">
    <tableColumn id="1" name="Name" dataCellStyle="Comma"/>
    <tableColumn id="2" name="MANGILALJI" dataCellStyle="Comma"/>
    <tableColumn id="3" name="BOLARAM" dataCellStyle="Comma"/>
    <tableColumn id="4" name="2026-01-04" dataCellStyle="Comma"/>
  </tableColumns>
  <tableStyleInfo name="TableStyleMedium25" showFirstColumn="0" showLastColumn="0" showRowStripes="1" showColumnStripes="0"/>
</table>
</file>

<file path=xl/tables/table6.xml><?xml version="1.0" encoding="utf-8"?>
<table xmlns="http://schemas.openxmlformats.org/spreadsheetml/2006/main" id="6" name="Table15" displayName="Table15" ref="F19:I26" headerRowCount="1" totalsRowShown="0" headerRowDxfId="707" dataDxfId="706" headerRowCellStyle="Comma" dataCellStyle="Comma">
  <autoFilter ref="F19:I26"/>
  <tableColumns count="4">
    <tableColumn id="1" name="Name" dataDxfId="705" dataCellStyle="Comma"/>
    <tableColumn id="2" name="NETHIRAMJI" dataDxfId="704" dataCellStyle="Comma"/>
    <tableColumn id="3" name="RAMARAM" dataDxfId="703" dataCellStyle="Comma"/>
    <tableColumn id="4" name="2026-01-04" dataDxfId="702" dataCellStyle="Comma"/>
  </tableColumns>
  <tableStyleInfo name="TableStyleMedium25" showFirstColumn="0" showLastColumn="0" showRowStripes="1" showColumnStripes="0"/>
</table>
</file>

<file path=xl/tables/table7.xml><?xml version="1.0" encoding="utf-8"?>
<table xmlns="http://schemas.openxmlformats.org/spreadsheetml/2006/main" id="7" name="Table16" displayName="Table16" ref="A28:D35" headerRowCount="1" totalsRowShown="0" headerRowCellStyle="Comma" dataCellStyle="Comma">
  <autoFilter ref="A28:D35"/>
  <tableColumns count="4">
    <tableColumn id="1" name="Name" dataCellStyle="Comma"/>
    <tableColumn id="2" name="KISHANJI(2)" dataCellStyle="Comma"/>
    <tableColumn id="3" name="KAMAN" dataCellStyle="Comma"/>
    <tableColumn id="4" name="2026-01-04" dataCellStyle="Comma"/>
  </tableColumns>
  <tableStyleInfo name="TableStyleMedium25" showFirstColumn="0" showLastColumn="0" showRowStripes="1" showColumnStripes="0"/>
</table>
</file>

<file path=xl/tables/table8.xml><?xml version="1.0" encoding="utf-8"?>
<table xmlns="http://schemas.openxmlformats.org/spreadsheetml/2006/main" id="8" name="Table17" displayName="Table17" ref="F28:I35" headerRowCount="1" totalsRowShown="0" headerRowDxfId="701" dataDxfId="700" headerRowCellStyle="Comma" dataCellStyle="Comma">
  <autoFilter ref="F28:I35"/>
  <tableColumns count="4">
    <tableColumn id="1" name="Name" dataDxfId="699" dataCellStyle="Comma"/>
    <tableColumn id="2" name="TARARAMJI" dataDxfId="698" dataCellStyle="Comma"/>
    <tableColumn id="3" name="PRGATI NG" dataDxfId="697" dataCellStyle="Comma"/>
    <tableColumn id="4" name="2026-01-04" dataDxfId="696" dataCellStyle="Comma"/>
  </tableColumns>
  <tableStyleInfo name="TableStyleMedium25" showFirstColumn="0" showLastColumn="0" showRowStripes="1" showColumnStripes="0"/>
</table>
</file>

<file path=xl/tables/table9.xml><?xml version="1.0" encoding="utf-8"?>
<table xmlns="http://schemas.openxmlformats.org/spreadsheetml/2006/main" id="9" name="Table18" displayName="Table18" ref="A37:D44" headerRowCount="1" totalsRowShown="0" headerRowDxfId="695" dataDxfId="694" headerRowCellStyle="Comma" dataCellStyle="Comma">
  <autoFilter ref="A37:D44"/>
  <tableColumns count="4">
    <tableColumn id="1" name="Name" dataDxfId="693" dataCellStyle="Comma"/>
    <tableColumn id="2" name="BHONARAMJI" dataDxfId="692" dataCellStyle="Comma"/>
    <tableColumn id="3" name="G.MAISAMA" dataDxfId="691" dataCellStyle="Comma"/>
    <tableColumn id="4" name="2026-01-04" dataDxfId="690" dataCellStyle="Comma"/>
  </tableColumns>
  <tableStyleInfo name="TableStyleMedium25" showFirstColumn="0" showLastColumn="0" showRowStripes="1" showColumnStripes="0"/>
</table>
</file>

<file path=xl/tables/table10.xml><?xml version="1.0" encoding="utf-8"?>
<table xmlns="http://schemas.openxmlformats.org/spreadsheetml/2006/main" id="10" name="Table19" displayName="Table19" ref="F37:I44" headerRowCount="1" totalsRowShown="0" headerRowDxfId="689" dataDxfId="688" headerRowCellStyle="Comma" dataCellStyle="Comma">
  <autoFilter ref="F37:I44"/>
  <tableColumns count="4">
    <tableColumn id="1" name="Name" dataDxfId="687" dataCellStyle="Comma"/>
    <tableColumn id="2" name="SESHARAMJI" dataDxfId="686" dataCellStyle="Comma"/>
    <tableColumn id="3" name="MEDCHAL" dataDxfId="685" dataCellStyle="Comma"/>
    <tableColumn id="4" name="2026-01-04" dataDxfId="684" dataCellStyle="Comma"/>
  </tableColumns>
  <tableStyleInfo name="TableStyleMedium25" showFirstColumn="0" showLastColumn="0" showRowStripes="1" showColumnStripes="0"/>
</table>
</file>

<file path=xl/tables/table11.xml><?xml version="1.0" encoding="utf-8"?>
<table xmlns="http://schemas.openxmlformats.org/spreadsheetml/2006/main" id="11" name="Table20" displayName="Table20" ref="A46:D53" headerRowCount="1" totalsRowShown="0" headerRowCellStyle="Comma" dataCellStyle="Comma">
  <autoFilter ref="A46:D53"/>
  <tableColumns count="4">
    <tableColumn id="1" name="Name" dataCellStyle="Comma"/>
    <tableColumn id="2" name="RAMESHJI" dataCellStyle="Comma"/>
    <tableColumn id="3" name="HITECH" dataCellStyle="Comma"/>
    <tableColumn id="4" name="2026-01-04" dataCellStyle="Comma"/>
  </tableColumns>
  <tableStyleInfo name="TableStyleMedium25" showFirstColumn="0" showLastColumn="0" showRowStripes="1" showColumnStripes="0"/>
</table>
</file>

<file path=xl/tables/table12.xml><?xml version="1.0" encoding="utf-8"?>
<table xmlns="http://schemas.openxmlformats.org/spreadsheetml/2006/main" id="12" name="Table21" displayName="Table21" ref="F46:I53" headerRowCount="1" totalsRowShown="0" headerRowDxfId="683" dataDxfId="682" headerRowCellStyle="Comma" dataCellStyle="Comma">
  <autoFilter ref="F46:I53"/>
  <tableColumns count="4">
    <tableColumn id="1" name="Name" dataDxfId="681" dataCellStyle="Comma"/>
    <tableColumn id="2" name="CHANDUJI" dataDxfId="680" dataCellStyle="Comma"/>
    <tableColumn id="3" name="KAMMAN" dataDxfId="679" dataCellStyle="Comma"/>
    <tableColumn id="4" name="2026-01-04" dataDxfId="678" dataCellStyle="Comma"/>
  </tableColumns>
  <tableStyleInfo name="TableStyleMedium25" showFirstColumn="0" showLastColumn="0" showRowStripes="1" showColumnStripes="0"/>
</table>
</file>

<file path=xl/tables/table13.xml><?xml version="1.0" encoding="utf-8"?>
<table xmlns="http://schemas.openxmlformats.org/spreadsheetml/2006/main" id="13" name="Table22" displayName="Table22" ref="A73:D85" headerRowCount="1" totalsRowShown="0" headerRowDxfId="677" dataDxfId="676" headerRowCellStyle="Comma" dataCellStyle="Comma">
  <autoFilter ref="A73:D85"/>
  <tableColumns count="4">
    <tableColumn id="1" name="Name" dataDxfId="675" dataCellStyle="Comma"/>
    <tableColumn id="2" name="MATAJI" dataDxfId="674" dataCellStyle="Comma"/>
    <tableColumn id="3" name="G.R" dataDxfId="673" dataCellStyle="Comma"/>
    <tableColumn id="4" name="2026-01-04" dataDxfId="672" dataCellStyle="Comma"/>
  </tableColumns>
  <tableStyleInfo name="TableStyleMedium25" showFirstColumn="0" showLastColumn="0" showRowStripes="1" showColumnStripes="0"/>
</table>
</file>

<file path=xl/tables/table14.xml><?xml version="1.0" encoding="utf-8"?>
<table xmlns="http://schemas.openxmlformats.org/spreadsheetml/2006/main" id="14" name="Table23" displayName="Table23" ref="A55:D62" headerRowCount="1" totalsRowShown="0" headerRowDxfId="671" dataDxfId="670" headerRowCellStyle="Comma" dataCellStyle="Comma">
  <autoFilter ref="A55:D62"/>
  <tableColumns count="4">
    <tableColumn id="1" name="Name" dataDxfId="669" dataCellStyle="Comma"/>
    <tableColumn id="2" name="SOHANJI" dataDxfId="668" dataCellStyle="Comma"/>
    <tableColumn id="3" name="KOTLAPUR" dataDxfId="667" dataCellStyle="Comma"/>
    <tableColumn id="4" name="2026-01-04" dataDxfId="666" dataCellStyle="Comma"/>
  </tableColumns>
  <tableStyleInfo name="TableStyleMedium25" showFirstColumn="0" showLastColumn="0" showRowStripes="1" showColumnStripes="0"/>
</table>
</file>

<file path=xl/tables/table15.xml><?xml version="1.0" encoding="utf-8"?>
<table xmlns="http://schemas.openxmlformats.org/spreadsheetml/2006/main" id="15" name="Table24" displayName="Table24" ref="F55:I62" headerRowCount="1" totalsRowShown="0" headerRowDxfId="665" dataDxfId="664" headerRowCellStyle="Comma" dataCellStyle="Comma">
  <autoFilter ref="F55:I62"/>
  <tableColumns count="4">
    <tableColumn id="1" name="Name" dataDxfId="663" dataCellStyle="Comma"/>
    <tableColumn id="2" name="DEEPAKJI" dataDxfId="662" dataCellStyle="Comma"/>
    <tableColumn id="3" name="SUCHITRA" dataDxfId="661" dataCellStyle="Comma"/>
    <tableColumn id="4" name="2026-01-04" dataDxfId="660" dataCellStyle="Comma"/>
  </tableColumns>
  <tableStyleInfo name="TableStyleMedium25" showFirstColumn="0" showLastColumn="0" showRowStripes="1" showColumnStripes="0"/>
</table>
</file>

<file path=xl/tables/table16.xml><?xml version="1.0" encoding="utf-8"?>
<table xmlns="http://schemas.openxmlformats.org/spreadsheetml/2006/main" id="16" name="Table25" displayName="Table25" ref="A64:D71" headerRowCount="1" totalsRowShown="0" headerRowDxfId="659" dataDxfId="658" dataCellStyle="Comma">
  <autoFilter ref="A64:D71"/>
  <tableColumns count="4">
    <tableColumn id="1" name="NAME" dataDxfId="657" dataCellStyle="Comma"/>
    <tableColumn id="2" name="KUNARAMJI" dataDxfId="656" dataCellStyle="Comma"/>
    <tableColumn id="3" name="GANDHI NGR" dataDxfId="655" dataCellStyle="Comma"/>
    <tableColumn id="4" name="2026-01-04" dataDxfId="654" dataCellStyle="Comma"/>
  </tableColumns>
  <tableStyleInfo name="TableStyleMedium25" showFirstColumn="0" showLastColumn="0" showRowStripes="1" showColumnStripes="0"/>
</table>
</file>

<file path=xl/tables/table17.xml><?xml version="1.0" encoding="utf-8"?>
<table xmlns="http://schemas.openxmlformats.org/spreadsheetml/2006/main" id="17" name="Table26" displayName="Table26" ref="F64:I71" headerRowCount="1" totalsRowShown="0" headerRowDxfId="653" dataDxfId="652" headerRowCellStyle="Comma" dataCellStyle="Comma">
  <autoFilter ref="F64:I71"/>
  <tableColumns count="4">
    <tableColumn id="1" name="Name" dataDxfId="651" dataCellStyle="Comma"/>
    <tableColumn id="2" name="CHENARAMJI" dataDxfId="650" dataCellStyle="Comma"/>
    <tableColumn id="3" name="CHINTAL" dataDxfId="649" dataCellStyle="Comma"/>
    <tableColumn id="4" name="2026-01-04" dataDxfId="648" dataCellStyle="Comma"/>
  </tableColumns>
  <tableStyleInfo name="TableStyleMedium25" showFirstColumn="0" showLastColumn="0" showRowStripes="1" showColumnStripes="0"/>
</table>
</file>

<file path=xl/tables/table18.xml><?xml version="1.0" encoding="utf-8"?>
<table xmlns="http://schemas.openxmlformats.org/spreadsheetml/2006/main" id="18" name="Table27" displayName="Table27" ref="F73:I85" headerRowCount="1" totalsRowShown="0" headerRowDxfId="647" dataDxfId="646" headerRowCellStyle="Comma" dataCellStyle="Comma">
  <autoFilter ref="F73:I85"/>
  <tableColumns count="4">
    <tableColumn id="1" name="Name" dataDxfId="645" dataCellStyle="Comma"/>
    <tableColumn id="2" name="MATAJI" dataDxfId="644" dataCellStyle="Comma"/>
    <tableColumn id="3" name="J.E.W" dataDxfId="643" dataCellStyle="Comma"/>
    <tableColumn id="4" name="2026-01-04" dataDxfId="642" dataCellStyle="Comma"/>
  </tableColumns>
  <tableStyleInfo name="TableStyleMedium25" showFirstColumn="0" showLastColumn="0" showRowStripes="1" showColumnStripes="0"/>
</table>
</file>

<file path=xl/tables/table19.xml><?xml version="1.0" encoding="utf-8"?>
<table xmlns="http://schemas.openxmlformats.org/spreadsheetml/2006/main" id="19" name="Table28" displayName="Table28" ref="A87:D94" headerRowCount="1" totalsRowShown="0" headerRowDxfId="641" dataDxfId="640" headerRowCellStyle="Comma" dataCellStyle="Comma">
  <autoFilter ref="A87:D94"/>
  <tableColumns count="4">
    <tableColumn id="1" name="Name" dataDxfId="639" dataCellStyle="Comma"/>
    <tableColumn id="2" name="MOHANLALJI" dataDxfId="638" dataCellStyle="Comma"/>
    <tableColumn id="3" name="SNT.NAGAR" dataDxfId="637" dataCellStyle="Comma"/>
    <tableColumn id="4" name="2026-01-04" dataDxfId="636" dataCellStyle="Comma"/>
  </tableColumns>
  <tableStyleInfo name="TableStyleMedium25" showFirstColumn="0" showLastColumn="0" showRowStripes="1" showColumnStripes="0"/>
</table>
</file>

<file path=xl/tables/table20.xml><?xml version="1.0" encoding="utf-8"?>
<table xmlns="http://schemas.openxmlformats.org/spreadsheetml/2006/main" id="20" name="Table29" displayName="Table29" ref="F87:I94" headerRowCount="1" totalsRowShown="0" headerRowDxfId="635" dataDxfId="634" headerRowCellStyle="Comma" dataCellStyle="Comma">
  <autoFilter ref="F87:I94"/>
  <tableColumns count="4">
    <tableColumn id="1" name="Name" dataDxfId="633" dataCellStyle="Comma"/>
    <tableColumn id="2" name="SUNILJI" dataDxfId="632" dataCellStyle="Comma"/>
    <tableColumn id="3" name="S.P" dataDxfId="631" dataCellStyle="Comma"/>
    <tableColumn id="4" name="2026-01-04" dataDxfId="630" dataCellStyle="Comma"/>
  </tableColumns>
  <tableStyleInfo name="TableStyleMedium25" showFirstColumn="0" showLastColumn="0" showRowStripes="1" showColumnStripes="0"/>
</table>
</file>

<file path=xl/tables/table21.xml><?xml version="1.0" encoding="utf-8"?>
<table xmlns="http://schemas.openxmlformats.org/spreadsheetml/2006/main" id="21" name="Table30" displayName="Table30" ref="A96:D103" headerRowCount="1" totalsRowShown="0" headerRowDxfId="629" dataDxfId="628" headerRowCellStyle="Comma" dataCellStyle="Comma">
  <autoFilter ref="A96:D103"/>
  <tableColumns count="4">
    <tableColumn id="1" name="Name" dataDxfId="627" dataCellStyle="Comma"/>
    <tableColumn id="2" name="PRAKASHJI" dataDxfId="626" dataCellStyle="Comma"/>
    <tableColumn id="3" name="KONDAPUR" dataDxfId="625" dataCellStyle="Comma"/>
    <tableColumn id="4" name="2026-01-04" dataDxfId="624" dataCellStyle="Comma"/>
  </tableColumns>
  <tableStyleInfo name="TableStyleMedium25" showFirstColumn="0" showLastColumn="0" showRowStripes="1" showColumnStripes="0"/>
</table>
</file>

<file path=xl/tables/table22.xml><?xml version="1.0" encoding="utf-8"?>
<table xmlns="http://schemas.openxmlformats.org/spreadsheetml/2006/main" id="22" name="Table31" displayName="Table31" ref="F96:I103" headerRowCount="1" totalsRowShown="0" headerRowDxfId="623" dataDxfId="622" headerRowCellStyle="Comma" dataCellStyle="Comma">
  <autoFilter ref="F96:I103"/>
  <tableColumns count="4">
    <tableColumn id="1" name="Name" dataDxfId="621" dataCellStyle="Comma"/>
    <tableColumn id="2" name="NEMARAMJI" dataDxfId="620" dataCellStyle="Comma"/>
    <tableColumn id="3" name="S.R NAGAR" dataDxfId="619" dataCellStyle="Comma"/>
    <tableColumn id="4" name="2026-01-04" dataDxfId="618" dataCellStyle="Comma"/>
  </tableColumns>
  <tableStyleInfo name="TableStyleMedium25" showFirstColumn="0" showLastColumn="0" showRowStripes="1" showColumnStripes="0"/>
</table>
</file>

<file path=xl/tables/table23.xml><?xml version="1.0" encoding="utf-8"?>
<table xmlns="http://schemas.openxmlformats.org/spreadsheetml/2006/main" id="23" name="Table32" displayName="Table32" ref="A105:D112" headerRowCount="1" totalsRowShown="0" headerRowDxfId="617" dataDxfId="616" headerRowCellStyle="Comma" dataCellStyle="Comma">
  <autoFilter ref="A105:D112"/>
  <tableColumns count="4">
    <tableColumn id="1" name="Name" dataDxfId="615" dataCellStyle="Comma"/>
    <tableColumn id="2" name="NARAYANJI" dataDxfId="614" dataCellStyle="Comma"/>
    <tableColumn id="3" name="SHAPUR" dataDxfId="613" dataCellStyle="Comma"/>
    <tableColumn id="4" name="2026-01-04" dataDxfId="612" dataCellStyle="Comma"/>
  </tableColumns>
  <tableStyleInfo name="TableStyleMedium25" showFirstColumn="0" showLastColumn="0" showRowStripes="1" showColumnStripes="0"/>
</table>
</file>

<file path=xl/tables/table24.xml><?xml version="1.0" encoding="utf-8"?>
<table xmlns="http://schemas.openxmlformats.org/spreadsheetml/2006/main" id="24" name="Table33" displayName="Table33" ref="F105:I112" headerRowCount="1" totalsRowShown="0" headerRowDxfId="611" dataDxfId="610" headerRowCellStyle="Comma" dataCellStyle="Comma">
  <autoFilter ref="F105:I112"/>
  <tableColumns count="4">
    <tableColumn id="1" name="Name" dataDxfId="609" dataCellStyle="Comma"/>
    <tableColumn id="2" name="HIMTARAMJI" dataDxfId="608" dataCellStyle="Comma"/>
    <tableColumn id="3" name="MEDCHAL" dataDxfId="607" dataCellStyle="Comma"/>
    <tableColumn id="4" name="2026-01-04" dataDxfId="606" dataCellStyle="Comma"/>
  </tableColumns>
  <tableStyleInfo name="TableStyleMedium25" showFirstColumn="0" showLastColumn="0" showRowStripes="1" showColumnStripes="0"/>
</table>
</file>

<file path=xl/tables/table25.xml><?xml version="1.0" encoding="utf-8"?>
<table xmlns="http://schemas.openxmlformats.org/spreadsheetml/2006/main" id="25" name="Table34" displayName="Table34" ref="A114:D121" headerRowCount="1" totalsRowShown="0" headerRowDxfId="605" dataDxfId="604" headerRowCellStyle="Comma" dataCellStyle="Comma">
  <autoFilter ref="A114:D121"/>
  <tableColumns count="4">
    <tableColumn id="1" name="Name" dataDxfId="603" dataCellStyle="Comma"/>
    <tableColumn id="2" name="CHENARAMJI" dataDxfId="602" dataCellStyle="Comma"/>
    <tableColumn id="3" name="KOTLAPUR" dataDxfId="601" dataCellStyle="Comma"/>
    <tableColumn id="4" name="2026-01-04" dataDxfId="600" dataCellStyle="Comma"/>
  </tableColumns>
  <tableStyleInfo name="TableStyleMedium25" showFirstColumn="0" showLastColumn="0" showRowStripes="1" showColumnStripes="0"/>
</table>
</file>

<file path=xl/tables/table26.xml><?xml version="1.0" encoding="utf-8"?>
<table xmlns="http://schemas.openxmlformats.org/spreadsheetml/2006/main" id="26" name="Table35" displayName="Table35" ref="F114:I121" headerRowCount="1" totalsRowShown="0" headerRowDxfId="599" dataDxfId="598" headerRowCellStyle="Comma" dataCellStyle="Comma">
  <autoFilter ref="F114:I121"/>
  <tableColumns count="4">
    <tableColumn id="1" name="Name" dataDxfId="597" dataCellStyle="Comma"/>
    <tableColumn id="2" name="GOVINDJI" dataDxfId="596" dataCellStyle="Comma"/>
    <tableColumn id="3" name="MGD NAGAR" dataDxfId="595" dataCellStyle="Comma"/>
    <tableColumn id="4" name="2026-01-04" dataDxfId="594" dataCellStyle="Comma"/>
  </tableColumns>
  <tableStyleInfo name="TableStyleMedium25" showFirstColumn="0" showLastColumn="0" showRowStripes="1" showColumnStripes="0"/>
</table>
</file>

<file path=xl/tables/table27.xml><?xml version="1.0" encoding="utf-8"?>
<table xmlns="http://schemas.openxmlformats.org/spreadsheetml/2006/main" id="27" name="Table36" displayName="Table36" ref="A123:D130" headerRowCount="1" totalsRowShown="0" headerRowDxfId="593" dataDxfId="592" headerRowCellStyle="Comma" dataCellStyle="Comma">
  <autoFilter ref="A123:D130"/>
  <tableColumns count="4">
    <tableColumn id="1" name="Name" dataDxfId="591" dataCellStyle="Comma"/>
    <tableColumn id="2" name="NARAYANLALJI" dataDxfId="590" dataCellStyle="Comma"/>
    <tableColumn id="3" name="SUBASH NGR" dataDxfId="589" dataCellStyle="Comma"/>
    <tableColumn id="4" name="2026-01-04" dataDxfId="588" dataCellStyle="Comma"/>
  </tableColumns>
  <tableStyleInfo name="TableStyleMedium25" showFirstColumn="0" showLastColumn="0" showRowStripes="1" showColumnStripes="0"/>
</table>
</file>

<file path=xl/tables/table28.xml><?xml version="1.0" encoding="utf-8"?>
<table xmlns="http://schemas.openxmlformats.org/spreadsheetml/2006/main" id="28" name="Table37" displayName="Table37" ref="F123:I130" headerRowCount="1" totalsRowShown="0" headerRowDxfId="587" dataDxfId="586" headerRowCellStyle="Comma" dataCellStyle="Comma">
  <autoFilter ref="F123:I130"/>
  <tableColumns count="4">
    <tableColumn id="1" name="Name" dataDxfId="585" dataCellStyle="Comma"/>
    <tableColumn id="2" name="VAKTARAMJI" dataDxfId="584" dataCellStyle="Comma"/>
    <tableColumn id="3" name="RMNTPUR" dataDxfId="583" dataCellStyle="Comma"/>
    <tableColumn id="4" name="2026-01-04" dataDxfId="582" dataCellStyle="Comma"/>
  </tableColumns>
  <tableStyleInfo name="TableStyleMedium25" showFirstColumn="0" showLastColumn="0" showRowStripes="1" showColumnStripes="0"/>
</table>
</file>

<file path=xl/tables/table29.xml><?xml version="1.0" encoding="utf-8"?>
<table xmlns="http://schemas.openxmlformats.org/spreadsheetml/2006/main" id="29" name="Table38" displayName="Table38" ref="A132:D139" headerRowCount="1" totalsRowShown="0" headerRowDxfId="581" dataDxfId="580" headerRowCellStyle="Comma" dataCellStyle="Comma">
  <autoFilter ref="A132:D139"/>
  <tableColumns count="4">
    <tableColumn id="1" name="Name" dataDxfId="579" dataCellStyle="Comma"/>
    <tableColumn id="2" name="BHUNDARAMJI" dataDxfId="578" dataCellStyle="Comma"/>
    <tableColumn id="3" name="MIYAPUR" dataDxfId="577" dataCellStyle="Comma"/>
    <tableColumn id="4" name="2026-01-04" dataDxfId="576" dataCellStyle="Comma"/>
  </tableColumns>
  <tableStyleInfo name="TableStyleMedium25" showFirstColumn="0" showLastColumn="0" showRowStripes="1" showColumnStripes="0"/>
</table>
</file>

<file path=xl/tables/table30.xml><?xml version="1.0" encoding="utf-8"?>
<table xmlns="http://schemas.openxmlformats.org/spreadsheetml/2006/main" id="30" name="Table39" displayName="Table39" ref="F132:I139" headerRowCount="1" totalsRowShown="0" headerRowDxfId="575" dataDxfId="574" headerRowCellStyle="Comma" dataCellStyle="Comma">
  <autoFilter ref="F132:I139"/>
  <tableColumns count="4">
    <tableColumn id="1" name="Name" dataDxfId="573" dataCellStyle="Comma"/>
    <tableColumn id="2" name="MOHANJI" dataDxfId="572" dataCellStyle="Comma"/>
    <tableColumn id="3" name="NARSAPUR" dataDxfId="571" dataCellStyle="Comma"/>
    <tableColumn id="4" name="2026-01-04" dataDxfId="570" dataCellStyle="Comma"/>
  </tableColumns>
  <tableStyleInfo name="TableStyleMedium25" showFirstColumn="0" showLastColumn="0" showRowStripes="1" showColumnStripes="0"/>
</table>
</file>

<file path=xl/tables/table31.xml><?xml version="1.0" encoding="utf-8"?>
<table xmlns="http://schemas.openxmlformats.org/spreadsheetml/2006/main" id="31" name="Table40" displayName="Table40" ref="A141:D148" headerRowCount="1" totalsRowShown="0" headerRowDxfId="569" dataDxfId="568" headerRowCellStyle="Comma" dataCellStyle="Comma">
  <autoFilter ref="A141:D148"/>
  <tableColumns count="4">
    <tableColumn id="1" name="Name" dataDxfId="567" dataCellStyle="Comma"/>
    <tableColumn id="2" name="POKARJI" dataDxfId="566" dataCellStyle="Comma"/>
    <tableColumn id="3" name="J GUTTA" dataDxfId="565" dataCellStyle="Comma"/>
    <tableColumn id="4" name="2026-01-04" dataDxfId="564" dataCellStyle="Comma"/>
  </tableColumns>
  <tableStyleInfo name="TableStyleMedium25" showFirstColumn="0" showLastColumn="0" showRowStripes="1" showColumnStripes="0"/>
</table>
</file>

<file path=xl/tables/table32.xml><?xml version="1.0" encoding="utf-8"?>
<table xmlns="http://schemas.openxmlformats.org/spreadsheetml/2006/main" id="32" name="Table41" displayName="Table41" ref="F141:I148" headerRowCount="1" totalsRowShown="0" headerRowDxfId="563" dataDxfId="562" dataCellStyle="Comma">
  <autoFilter ref="F141:I148"/>
  <tableColumns count="4">
    <tableColumn id="1" name="NAME" dataDxfId="561" dataCellStyle="Comma"/>
    <tableColumn id="2" name="VAJJARAMJI" dataDxfId="560" dataCellStyle="Comma"/>
    <tableColumn id="3" name="RING ROAD" dataDxfId="559" dataCellStyle="Comma"/>
    <tableColumn id="4" name="2026-01-04" dataDxfId="558" dataCellStyle="Comma"/>
  </tableColumns>
  <tableStyleInfo name="TableStyleMedium25" showFirstColumn="0" showLastColumn="0" showRowStripes="1" showColumnStripes="0"/>
</table>
</file>

<file path=xl/tables/table33.xml><?xml version="1.0" encoding="utf-8"?>
<table xmlns="http://schemas.openxmlformats.org/spreadsheetml/2006/main" id="33" name="Table42" displayName="Table42" ref="A150:D157" headerRowCount="1" totalsRowShown="0" headerRowDxfId="557" dataDxfId="556" headerRowCellStyle="Comma" dataCellStyle="Comma">
  <autoFilter ref="A150:D157"/>
  <tableColumns count="4">
    <tableColumn id="1" name="Name" dataDxfId="555" dataCellStyle="Comma"/>
    <tableColumn id="2" name="UDARAMJI" dataDxfId="554" dataCellStyle="Comma"/>
    <tableColumn id="3" name="CHINTAL" dataDxfId="553" dataCellStyle="Comma"/>
    <tableColumn id="4" name="2026-01-04" dataDxfId="552" dataCellStyle="Comma"/>
  </tableColumns>
  <tableStyleInfo name="TableStyleMedium25" showFirstColumn="0" showLastColumn="0" showRowStripes="1" showColumnStripes="0"/>
</table>
</file>

<file path=xl/tables/table34.xml><?xml version="1.0" encoding="utf-8"?>
<table xmlns="http://schemas.openxmlformats.org/spreadsheetml/2006/main" id="34" name="Table43" displayName="Table43" ref="F150:I157" headerRowCount="1" totalsRowShown="0" headerRowDxfId="551" dataDxfId="550" headerRowCellStyle="Comma" dataCellStyle="Comma">
  <autoFilter ref="F150:I157"/>
  <tableColumns count="4">
    <tableColumn id="1" name="Name" dataDxfId="549" dataCellStyle="Comma"/>
    <tableColumn id="2" name="SUMERSINGHJI" dataDxfId="548" dataCellStyle="Comma"/>
    <tableColumn id="3" name="KU PALLY" dataDxfId="547" dataCellStyle="Comma"/>
    <tableColumn id="4" name="2026-01-04" dataDxfId="546" dataCellStyle="Comma"/>
  </tableColumns>
  <tableStyleInfo name="TableStyleMedium25" showFirstColumn="0" showLastColumn="0" showRowStripes="1" showColumnStripes="0"/>
</table>
</file>

<file path=xl/tables/table35.xml><?xml version="1.0" encoding="utf-8"?>
<table xmlns="http://schemas.openxmlformats.org/spreadsheetml/2006/main" id="35" name="Table44" displayName="Table44" ref="A159:D166" headerRowCount="1" totalsRowShown="0" headerRowDxfId="545" dataDxfId="544" headerRowCellStyle="Comma" dataCellStyle="Comma">
  <autoFilter ref="A159:D166"/>
  <tableColumns count="4">
    <tableColumn id="1" name="Name" dataDxfId="543" dataCellStyle="Comma"/>
    <tableColumn id="2" name="HARISINGHJI" dataDxfId="542" dataCellStyle="Comma"/>
    <tableColumn id="3" name="RAMARAM" dataDxfId="541" dataCellStyle="Comma"/>
    <tableColumn id="4" name="2026-01-04" dataDxfId="540" dataCellStyle="Comma"/>
  </tableColumns>
  <tableStyleInfo name="TableStyleMedium25" showFirstColumn="0" showLastColumn="0" showRowStripes="1" showColumnStripes="0"/>
</table>
</file>

<file path=xl/tables/table36.xml><?xml version="1.0" encoding="utf-8"?>
<table xmlns="http://schemas.openxmlformats.org/spreadsheetml/2006/main" id="36" name="Table45" displayName="Table45" ref="F159:I166" headerRowCount="1" totalsRowShown="0" headerRowDxfId="539" dataDxfId="538" headerRowCellStyle="Comma" dataCellStyle="Comma">
  <autoFilter ref="F159:I166"/>
  <tableColumns count="4">
    <tableColumn id="1" name="Name" dataDxfId="537" dataCellStyle="Comma"/>
    <tableColumn id="2" name="MANGILALJI" dataDxfId="536" dataCellStyle="Comma"/>
    <tableColumn id="3" name="MALLAPUR" dataDxfId="535" dataCellStyle="Comma"/>
    <tableColumn id="4" name="2026-01-04" dataDxfId="534" dataCellStyle="Comma"/>
  </tableColumns>
  <tableStyleInfo name="TableStyleMedium25" showFirstColumn="0" showLastColumn="0" showRowStripes="1" showColumnStripes="0"/>
</table>
</file>

<file path=xl/tables/table37.xml><?xml version="1.0" encoding="utf-8"?>
<table xmlns="http://schemas.openxmlformats.org/spreadsheetml/2006/main" id="37" name="Table46" displayName="Table46" ref="A168:D175" headerRowCount="1" totalsRowShown="0" headerRowDxfId="533" dataDxfId="532" headerRowCellStyle="Comma" dataCellStyle="Comma">
  <autoFilter ref="A168:D175"/>
  <tableColumns count="4">
    <tableColumn id="1" name="Name" dataDxfId="531" dataCellStyle="Comma"/>
    <tableColumn id="2" name="BHORARAMJI" dataDxfId="530" dataCellStyle="Comma"/>
    <tableColumn id="3" name="MIYAPUR" dataDxfId="529" dataCellStyle="Comma"/>
    <tableColumn id="4" name="2026-01-04" dataDxfId="528" dataCellStyle="Comma"/>
  </tableColumns>
  <tableStyleInfo name="TableStyleMedium25" showFirstColumn="0" showLastColumn="0" showRowStripes="1" showColumnStripes="0"/>
</table>
</file>

<file path=xl/tables/table38.xml><?xml version="1.0" encoding="utf-8"?>
<table xmlns="http://schemas.openxmlformats.org/spreadsheetml/2006/main" id="38" name="Table47" displayName="Table47" ref="F168:I175" headerRowCount="1" totalsRowShown="0" headerRowDxfId="527" dataDxfId="526" headerRowCellStyle="Comma" dataCellStyle="Comma">
  <autoFilter ref="F168:I175"/>
  <tableColumns count="4">
    <tableColumn id="1" name="Name" dataDxfId="525" dataCellStyle="Comma"/>
    <tableColumn id="2" name="TARARAMJI" dataDxfId="524" dataCellStyle="Comma"/>
    <tableColumn id="3" name="SURARAM" dataDxfId="523" dataCellStyle="Comma"/>
    <tableColumn id="4" name="2026-01-04" dataDxfId="522" dataCellStyle="Comma"/>
  </tableColumns>
  <tableStyleInfo name="TableStyleMedium25" showFirstColumn="0" showLastColumn="0" showRowStripes="1" showColumnStripes="0"/>
</table>
</file>

<file path=xl/tables/table39.xml><?xml version="1.0" encoding="utf-8"?>
<table xmlns="http://schemas.openxmlformats.org/spreadsheetml/2006/main" id="39" name="Table48" displayName="Table48" ref="A177:D184" headerRowCount="1" totalsRowShown="0" headerRowDxfId="521" dataDxfId="520" headerRowCellStyle="Comma" dataCellStyle="Comma">
  <autoFilter ref="A177:D184"/>
  <tableColumns count="4">
    <tableColumn id="1" name="Name" dataDxfId="519" dataCellStyle="Comma"/>
    <tableColumn id="2" name="MADARAMJI" dataDxfId="518" dataCellStyle="Comma"/>
    <tableColumn id="3" name="SHAPUR" dataDxfId="517" dataCellStyle="Comma"/>
    <tableColumn id="4" name="2026-01-04" dataDxfId="516" dataCellStyle="Comma"/>
  </tableColumns>
  <tableStyleInfo name="TableStyleMedium25" showFirstColumn="0" showLastColumn="0" showRowStripes="1" showColumnStripes="0"/>
</table>
</file>

<file path=xl/tables/table40.xml><?xml version="1.0" encoding="utf-8"?>
<table xmlns="http://schemas.openxmlformats.org/spreadsheetml/2006/main" id="40" name="Table49" displayName="Table49" ref="F177:I184" headerRowCount="1" totalsRowShown="0" headerRowDxfId="515" dataDxfId="514" headerRowCellStyle="Comma" dataCellStyle="Comma">
  <autoFilter ref="F177:I184"/>
  <tableColumns count="4">
    <tableColumn id="1" name="Name" dataDxfId="513" dataCellStyle="Comma"/>
    <tableColumn id="2" name="KUKARAMJI" dataDxfId="512" dataCellStyle="Comma"/>
    <tableColumn id="3" name="J GUTTA" dataDxfId="511" dataCellStyle="Comma"/>
    <tableColumn id="4" name="2026-01-04" dataDxfId="510" dataCellStyle="Comma"/>
  </tableColumns>
  <tableStyleInfo name="TableStyleMedium25" showFirstColumn="0" showLastColumn="0" showRowStripes="1" showColumnStripes="0"/>
</table>
</file>

<file path=xl/tables/table41.xml><?xml version="1.0" encoding="utf-8"?>
<table xmlns="http://schemas.openxmlformats.org/spreadsheetml/2006/main" id="41" name="Table50" displayName="Table50" ref="A186:D193" headerRowCount="1" totalsRowShown="0" headerRowDxfId="509" dataDxfId="508" dataCellStyle="Comma">
  <autoFilter ref="A186:D193"/>
  <tableColumns count="4">
    <tableColumn id="1" name="NAME" dataDxfId="507" dataCellStyle="Comma"/>
    <tableColumn id="2" name="GENARAMJI" dataDxfId="506" dataCellStyle="Comma"/>
    <tableColumn id="3" name="J GUTTA" dataDxfId="505" dataCellStyle="Comma"/>
    <tableColumn id="4" name="2026-01-04" dataDxfId="504" dataCellStyle="Comma"/>
  </tableColumns>
  <tableStyleInfo name="TableStyleMedium25" showFirstColumn="0" showLastColumn="0" showRowStripes="1" showColumnStripes="0"/>
</table>
</file>

<file path=xl/tables/table42.xml><?xml version="1.0" encoding="utf-8"?>
<table xmlns="http://schemas.openxmlformats.org/spreadsheetml/2006/main" id="42" name="Table51" displayName="Table51" ref="F186:I193" headerRowCount="1" totalsRowShown="0" headerRowDxfId="503" dataDxfId="502" headerRowCellStyle="Comma" dataCellStyle="Comma">
  <autoFilter ref="F186:I193"/>
  <tableColumns count="4">
    <tableColumn id="1" name="Name" dataDxfId="501" dataCellStyle="Comma"/>
    <tableColumn id="2" name="NARENDRAJI" dataDxfId="500" dataCellStyle="Comma"/>
    <tableColumn id="3" name="SACHINJI" dataDxfId="499" dataCellStyle="Comma"/>
    <tableColumn id="4" name="2026-01-04" dataDxfId="498" dataCellStyle="Comma"/>
  </tableColumns>
  <tableStyleInfo name="TableStyleMedium25" showFirstColumn="0" showLastColumn="0" showRowStripes="1" showColumnStripes="0"/>
</table>
</file>

<file path=xl/tables/table43.xml><?xml version="1.0" encoding="utf-8"?>
<table xmlns="http://schemas.openxmlformats.org/spreadsheetml/2006/main" id="43" name="Table52" displayName="Table52" ref="A195:D202" headerRowCount="1" totalsRowShown="0" headerRowDxfId="497" dataDxfId="496" headerRowCellStyle="Comma" dataCellStyle="Comma">
  <autoFilter ref="A195:D202"/>
  <tableColumns count="4">
    <tableColumn id="1" name="Name" dataDxfId="495" dataCellStyle="Comma"/>
    <tableColumn id="2" name="HONARAMJI" dataDxfId="494" dataCellStyle="Comma"/>
    <tableColumn id="3" name="RAMARAM" dataDxfId="493" dataCellStyle="Comma"/>
    <tableColumn id="4" name="2026-01-04" dataDxfId="492" dataCellStyle="Comma"/>
  </tableColumns>
  <tableStyleInfo name="TableStyleMedium25" showFirstColumn="0" showLastColumn="0" showRowStripes="1" showColumnStripes="0"/>
</table>
</file>

<file path=xl/tables/table44.xml><?xml version="1.0" encoding="utf-8"?>
<table xmlns="http://schemas.openxmlformats.org/spreadsheetml/2006/main" id="44" name="Table53" displayName="Table53" ref="F195:I202" headerRowCount="1" totalsRowShown="0" headerRowDxfId="491" dataDxfId="490" headerRowCellStyle="Comma" dataCellStyle="Comma">
  <autoFilter ref="F195:I202"/>
  <tableColumns count="4">
    <tableColumn id="1" name="Name" dataDxfId="489" dataCellStyle="Comma"/>
    <tableColumn id="2" name="MEHNDARJI" dataDxfId="488" dataCellStyle="Comma"/>
    <tableColumn id="3" name="SR NGR" dataDxfId="487" dataCellStyle="Comma"/>
    <tableColumn id="4" name="2026-01-04" dataDxfId="486" dataCellStyle="Comma"/>
  </tableColumns>
  <tableStyleInfo name="TableStyleMedium25" showFirstColumn="0" showLastColumn="0" showRowStripes="1" showColumnStripes="0"/>
</table>
</file>

<file path=xl/tables/table45.xml><?xml version="1.0" encoding="utf-8"?>
<table xmlns="http://schemas.openxmlformats.org/spreadsheetml/2006/main" id="45" name="Table54" displayName="Table54" ref="A204:D211" headerRowCount="1" totalsRowShown="0" headerRowDxfId="485" dataDxfId="484" dataCellStyle="Comma">
  <autoFilter ref="A204:D211"/>
  <tableColumns count="4">
    <tableColumn id="1" name="NAME" dataDxfId="483" dataCellStyle="Comma"/>
    <tableColumn id="2" name="KAILASHJI" dataDxfId="482" dataCellStyle="Comma"/>
    <tableColumn id="3" name="SHIVAMPET" dataDxfId="481" dataCellStyle="Comma"/>
    <tableColumn id="4" name="2026-01-04" dataDxfId="480" dataCellStyle="Comma"/>
  </tableColumns>
  <tableStyleInfo name="TableStyleMedium25" showFirstColumn="0" showLastColumn="0" showRowStripes="1" showColumnStripes="0"/>
</table>
</file>

<file path=xl/tables/table46.xml><?xml version="1.0" encoding="utf-8"?>
<table xmlns="http://schemas.openxmlformats.org/spreadsheetml/2006/main" id="46" name="Table55" displayName="Table55" ref="F204:I211" headerRowCount="1" totalsRowShown="0" headerRowDxfId="479" dataDxfId="478" dataCellStyle="Comma">
  <autoFilter ref="F204:I211"/>
  <tableColumns count="4">
    <tableColumn id="1" name="NAME" dataDxfId="477" dataCellStyle="Comma"/>
    <tableColumn id="2" name="SOHANJI GUJAR" dataDxfId="476" dataCellStyle="Comma"/>
    <tableColumn id="3" name="R R NGR" dataDxfId="475" dataCellStyle="Comma"/>
    <tableColumn id="4" name="2026-01-04" dataDxfId="474" dataCellStyle="Comma"/>
  </tableColumns>
  <tableStyleInfo name="TableStyleMedium25" showFirstColumn="0" showLastColumn="0" showRowStripes="1" showColumnStripes="0"/>
</table>
</file>

<file path=xl/tables/table47.xml><?xml version="1.0" encoding="utf-8"?>
<table xmlns="http://schemas.openxmlformats.org/spreadsheetml/2006/main" id="47" name="Table57" displayName="Table57" ref="F213:I220" headerRowCount="1" totalsRowShown="0" headerRowDxfId="473" dataDxfId="472" headerRowCellStyle="Comma" dataCellStyle="Comma">
  <autoFilter ref="F213:I220"/>
  <tableColumns count="4">
    <tableColumn id="1" name="Name" dataDxfId="471" dataCellStyle="Comma"/>
    <tableColumn id="2" name="RAMESHJI" dataDxfId="470" dataCellStyle="Comma"/>
    <tableColumn id="3" name="RR NAGAR" dataDxfId="469" dataCellStyle="Comma"/>
    <tableColumn id="4" name="2026-01-04" dataDxfId="468" dataCellStyle="Comma"/>
  </tableColumns>
  <tableStyleInfo name="TableStyleMedium25" showFirstColumn="0" showLastColumn="0" showRowStripes="1" showColumnStripes="0"/>
</table>
</file>

<file path=xl/tables/table48.xml><?xml version="1.0" encoding="utf-8"?>
<table xmlns="http://schemas.openxmlformats.org/spreadsheetml/2006/main" id="48" name="Table58" displayName="Table58" ref="A222:D229" headerRowCount="1" totalsRowShown="0" headerRowDxfId="467" dataDxfId="466" headerRowCellStyle="Comma" dataCellStyle="Comma">
  <autoFilter ref="A222:D229"/>
  <tableColumns count="4">
    <tableColumn id="1" name="Name" dataDxfId="465" dataCellStyle="Comma"/>
    <tableColumn id="2" name="GENARAMJI" dataDxfId="464" dataCellStyle="Comma"/>
    <tableColumn id="3" name="RAMARAM" dataDxfId="463" dataCellStyle="Comma"/>
    <tableColumn id="4" name="2026-01-04" dataDxfId="462" dataCellStyle="Comma"/>
  </tableColumns>
  <tableStyleInfo name="TableStyleMedium25" showFirstColumn="0" showLastColumn="0" showRowStripes="1" showColumnStripes="0"/>
</table>
</file>

<file path=xl/tables/table49.xml><?xml version="1.0" encoding="utf-8"?>
<table xmlns="http://schemas.openxmlformats.org/spreadsheetml/2006/main" id="49" name="Table59" displayName="Table59" ref="F222:I229" headerRowCount="1" totalsRowShown="0" headerRowDxfId="461" dataDxfId="460" headerRowCellStyle="Comma" dataCellStyle="Comma">
  <autoFilter ref="F222:I229"/>
  <tableColumns count="4">
    <tableColumn id="1" name="Name" dataDxfId="459" dataCellStyle="Comma"/>
    <tableColumn id="2" name="JAGDISHJI" dataDxfId="458" dataCellStyle="Comma"/>
    <tableColumn id="3" name="PPR NGR" dataDxfId="457" dataCellStyle="Comma"/>
    <tableColumn id="4" name="2026-01-04" dataDxfId="456" dataCellStyle="Comma"/>
  </tableColumns>
  <tableStyleInfo name="TableStyleMedium25" showFirstColumn="0" showLastColumn="0" showRowStripes="1" showColumnStripes="0"/>
</table>
</file>

<file path=xl/tables/table50.xml><?xml version="1.0" encoding="utf-8"?>
<table xmlns="http://schemas.openxmlformats.org/spreadsheetml/2006/main" id="50" name="Table60" displayName="Table60" ref="A231:D238" headerRowCount="1" totalsRowShown="0" headerRowDxfId="455" dataDxfId="454" headerRowCellStyle="Comma" dataCellStyle="Comma">
  <autoFilter ref="A231:D238"/>
  <tableColumns count="4">
    <tableColumn id="1" name="Name" dataDxfId="453" dataCellStyle="Comma"/>
    <tableColumn id="2" name="BHUNDARAMJI" dataDxfId="452" dataCellStyle="Comma"/>
    <tableColumn id="3" name="PRAGTI NGR" dataDxfId="451" dataCellStyle="Comma"/>
    <tableColumn id="4" name="2026-01-04" dataDxfId="450" dataCellStyle="Comma"/>
  </tableColumns>
  <tableStyleInfo name="TableStyleMedium25" showFirstColumn="0" showLastColumn="0" showRowStripes="1" showColumnStripes="0"/>
</table>
</file>

<file path=xl/tables/table51.xml><?xml version="1.0" encoding="utf-8"?>
<table xmlns="http://schemas.openxmlformats.org/spreadsheetml/2006/main" id="51" name="Table61" displayName="Table61" ref="F231:I238" headerRowCount="1" totalsRowShown="0" headerRowDxfId="449" dataDxfId="448" headerRowCellStyle="Comma" dataCellStyle="Comma">
  <autoFilter ref="F231:I238"/>
  <tableColumns count="4">
    <tableColumn id="1" name="Name" dataDxfId="447" dataCellStyle="Comma"/>
    <tableColumn id="2" name="JOGARAMJI" dataDxfId="446" dataCellStyle="Comma"/>
    <tableColumn id="3" name="KU PALLY" dataDxfId="445" dataCellStyle="Comma"/>
    <tableColumn id="4" name="2026-01-04" dataDxfId="444" dataCellStyle="Comma"/>
  </tableColumns>
  <tableStyleInfo name="TableStyleMedium25" showFirstColumn="0" showLastColumn="0" showRowStripes="1" showColumnStripes="0"/>
</table>
</file>

<file path=xl/tables/table52.xml><?xml version="1.0" encoding="utf-8"?>
<table xmlns="http://schemas.openxmlformats.org/spreadsheetml/2006/main" id="52" name="Table62" displayName="Table62" ref="A240:D247" headerRowCount="1" totalsRowShown="0" headerRowDxfId="443" dataDxfId="442" headerRowCellStyle="Comma" dataCellStyle="Comma">
  <autoFilter ref="A240:D247"/>
  <tableColumns count="4">
    <tableColumn id="1" name="Name" dataDxfId="441" dataCellStyle="Comma"/>
    <tableColumn id="2" name="RAMESHJI" dataDxfId="440" dataCellStyle="Comma"/>
    <tableColumn id="3" name="KONDAPUR" dataDxfId="439" dataCellStyle="Comma"/>
    <tableColumn id="4" name="2026-01-04" dataDxfId="438" dataCellStyle="Comma"/>
  </tableColumns>
  <tableStyleInfo name="TableStyleMedium25" showFirstColumn="0" showLastColumn="0" showRowStripes="1" showColumnStripes="0"/>
</table>
</file>

<file path=xl/tables/table53.xml><?xml version="1.0" encoding="utf-8"?>
<table xmlns="http://schemas.openxmlformats.org/spreadsheetml/2006/main" id="53" name="Table63" displayName="Table63" ref="F240:I247" headerRowCount="1" totalsRowShown="0" headerRowDxfId="437" dataDxfId="436" headerRowCellStyle="Comma" dataCellStyle="Comma">
  <autoFilter ref="F240:I247"/>
  <tableColumns count="4">
    <tableColumn id="1" name="Name" dataDxfId="435" dataCellStyle="Comma"/>
    <tableColumn id="2" name="MANOHARJI" dataDxfId="434" dataCellStyle="Comma"/>
    <tableColumn id="3" name="PAPI REDDY" dataDxfId="433" dataCellStyle="Comma"/>
    <tableColumn id="4" name="2026-01-04" dataDxfId="432" dataCellStyle="Comma"/>
  </tableColumns>
  <tableStyleInfo name="TableStyleMedium25" showFirstColumn="0" showLastColumn="0" showRowStripes="1" showColumnStripes="0"/>
</table>
</file>

<file path=xl/tables/table54.xml><?xml version="1.0" encoding="utf-8"?>
<table xmlns="http://schemas.openxmlformats.org/spreadsheetml/2006/main" id="54" name="Table64" displayName="Table64" ref="A249:D256" headerRowCount="1" totalsRowShown="0" headerRowDxfId="431" dataDxfId="430" headerRowCellStyle="Comma" dataCellStyle="Comma">
  <autoFilter ref="A249:D256"/>
  <tableColumns count="4">
    <tableColumn id="1" name="Name" dataDxfId="429" dataCellStyle="Comma"/>
    <tableColumn id="2" name="OMJI" dataDxfId="428" dataCellStyle="Comma"/>
    <tableColumn id="3" name="IDPL" dataDxfId="427" dataCellStyle="Comma"/>
    <tableColumn id="4" name="2026-01-04" dataDxfId="426" dataCellStyle="Comma"/>
  </tableColumns>
  <tableStyleInfo name="TableStyleMedium25" showFirstColumn="0" showLastColumn="0" showRowStripes="1" showColumnStripes="0"/>
</table>
</file>

<file path=xl/tables/table55.xml><?xml version="1.0" encoding="utf-8"?>
<table xmlns="http://schemas.openxmlformats.org/spreadsheetml/2006/main" id="55" name="Table65" displayName="Table65" ref="F249:I256" headerRowCount="1" totalsRowShown="0" headerRowDxfId="425" dataDxfId="424" headerRowCellStyle="Comma" dataCellStyle="Comma">
  <autoFilter ref="F249:I256"/>
  <tableColumns count="4">
    <tableColumn id="1" name="Name" dataDxfId="423" dataCellStyle="Comma"/>
    <tableColumn id="2" name="KISHANJI(1)" dataDxfId="422" dataCellStyle="Comma"/>
    <tableColumn id="3" name="KAMMAN" dataDxfId="421" dataCellStyle="Comma"/>
    <tableColumn id="4" name="2026-01-04" dataDxfId="420" dataCellStyle="Comma"/>
  </tableColumns>
  <tableStyleInfo name="TableStyleMedium25" showFirstColumn="0" showLastColumn="0" showRowStripes="1" showColumnStripes="0"/>
</table>
</file>

<file path=xl/tables/table56.xml><?xml version="1.0" encoding="utf-8"?>
<table xmlns="http://schemas.openxmlformats.org/spreadsheetml/2006/main" id="56" name="Table66" displayName="Table66" ref="A258:D265" headerRowCount="1" totalsRowShown="0" headerRowDxfId="419" dataDxfId="418" headerRowCellStyle="Comma" dataCellStyle="Comma">
  <autoFilter ref="A258:D265"/>
  <tableColumns count="4">
    <tableColumn id="1" name="Name" dataDxfId="417" dataCellStyle="Comma"/>
    <tableColumn id="2" name="HEMARAMJI" dataDxfId="416" dataCellStyle="Comma"/>
    <tableColumn id="3" name="YAMJAL" dataDxfId="415" dataCellStyle="Comma"/>
    <tableColumn id="4" name="2026-01-04" dataDxfId="414" dataCellStyle="Comma"/>
  </tableColumns>
  <tableStyleInfo name="TableStyleMedium25" showFirstColumn="0" showLastColumn="0" showRowStripes="1" showColumnStripes="0"/>
</table>
</file>

<file path=xl/tables/table57.xml><?xml version="1.0" encoding="utf-8"?>
<table xmlns="http://schemas.openxmlformats.org/spreadsheetml/2006/main" id="57" name="Table67" displayName="Table67" ref="F258:I265" headerRowCount="1" totalsRowShown="0" headerRowDxfId="413" dataDxfId="412" headerRowCellStyle="Comma" dataCellStyle="Comma">
  <autoFilter ref="F258:I265"/>
  <tableColumns count="4">
    <tableColumn id="1" name="Name" dataDxfId="411" dataCellStyle="Comma"/>
    <tableColumn id="2" name="SURENDER" dataDxfId="410" dataCellStyle="Comma"/>
    <tableColumn id="3" name="P R NGR" dataDxfId="409" dataCellStyle="Comma"/>
    <tableColumn id="4" name="2026-01-04" dataDxfId="408" dataCellStyle="Comma"/>
  </tableColumns>
  <tableStyleInfo name="TableStyleMedium25" showFirstColumn="0" showLastColumn="0" showRowStripes="1" showColumnStripes="0"/>
</table>
</file>

<file path=xl/tables/table58.xml><?xml version="1.0" encoding="utf-8"?>
<table xmlns="http://schemas.openxmlformats.org/spreadsheetml/2006/main" id="58" name="Table68" displayName="Table68" ref="A267:D274" headerRowCount="1" totalsRowShown="0" headerRowDxfId="407" dataDxfId="406" headerRowCellStyle="Comma" dataCellStyle="Comma">
  <autoFilter ref="A267:D274"/>
  <tableColumns count="4">
    <tableColumn id="1" name="Name" dataDxfId="405" dataCellStyle="Comma"/>
    <tableColumn id="2" name="DURGARAMJI" dataDxfId="404" dataCellStyle="Comma"/>
    <tableColumn id="3" name="RAMARAM" dataDxfId="403" dataCellStyle="Comma"/>
    <tableColumn id="4" name="2026-01-04" dataDxfId="402" dataCellStyle="Comma"/>
  </tableColumns>
  <tableStyleInfo name="TableStyleMedium25" showFirstColumn="0" showLastColumn="0" showRowStripes="1" showColumnStripes="0"/>
</table>
</file>

<file path=xl/tables/table59.xml><?xml version="1.0" encoding="utf-8"?>
<table xmlns="http://schemas.openxmlformats.org/spreadsheetml/2006/main" id="59" name="Table69" displayName="Table69" ref="F267:I274" headerRowCount="1" totalsRowShown="0" headerRowDxfId="401" dataDxfId="400" headerRowCellStyle="Comma" dataCellStyle="Comma">
  <autoFilter ref="F267:I274"/>
  <tableColumns count="4">
    <tableColumn id="1" name="Name" dataDxfId="399" dataCellStyle="Comma"/>
    <tableColumn id="2" name="MANGILALJI" dataDxfId="398" dataCellStyle="Comma"/>
    <tableColumn id="3" name="SURARAM" dataDxfId="397" dataCellStyle="Comma"/>
    <tableColumn id="4" name="2026-01-04" dataDxfId="396" dataCellStyle="Comma"/>
  </tableColumns>
  <tableStyleInfo name="TableStyleMedium25" showFirstColumn="0" showLastColumn="0" showRowStripes="1" showColumnStripes="0"/>
</table>
</file>

<file path=xl/tables/table60.xml><?xml version="1.0" encoding="utf-8"?>
<table xmlns="http://schemas.openxmlformats.org/spreadsheetml/2006/main" id="60" name="Table70" displayName="Table70" ref="A276:D284" headerRowCount="1" totalsRowShown="0" headerRowDxfId="395" dataDxfId="394" headerRowCellStyle="Comma" dataCellStyle="Comma">
  <autoFilter ref="A276:D284"/>
  <tableColumns count="4">
    <tableColumn id="1" name="Name" dataDxfId="393" dataCellStyle="Comma"/>
    <tableColumn id="2" name="DHANARAMJI" dataDxfId="392" dataCellStyle="Comma"/>
    <tableColumn id="3" name="KAMAN" dataDxfId="391" dataCellStyle="Comma"/>
    <tableColumn id="4" name="2026-01-04" dataDxfId="390" dataCellStyle="Comma"/>
  </tableColumns>
  <tableStyleInfo name="TableStyleMedium25" showFirstColumn="0" showLastColumn="0" showRowStripes="1" showColumnStripes="0"/>
</table>
</file>

<file path=xl/tables/table61.xml><?xml version="1.0" encoding="utf-8"?>
<table xmlns="http://schemas.openxmlformats.org/spreadsheetml/2006/main" id="61" name="Table71" displayName="Table71" ref="F276:I284" headerRowCount="1" totalsRowShown="0" headerRowDxfId="389" dataDxfId="388" headerRowCellStyle="Comma" dataCellStyle="Comma">
  <autoFilter ref="F276:I284"/>
  <tableColumns count="4">
    <tableColumn id="1" name="Name" dataDxfId="387" dataCellStyle="Comma"/>
    <tableColumn id="2" name="NARAYANJI" dataDxfId="386" dataCellStyle="Comma"/>
    <tableColumn id="3" name="KAMAN" dataDxfId="385" dataCellStyle="Comma"/>
    <tableColumn id="4" name="2026-01-04" dataDxfId="384" dataCellStyle="Comma"/>
  </tableColumns>
  <tableStyleInfo name="TableStyleMedium25" showFirstColumn="0" showLastColumn="0" showRowStripes="1" showColumnStripes="0"/>
</table>
</file>

<file path=xl/tables/table62.xml><?xml version="1.0" encoding="utf-8"?>
<table xmlns="http://schemas.openxmlformats.org/spreadsheetml/2006/main" id="62" name="Table72" displayName="Table72" ref="A286:D293" headerRowCount="1" totalsRowShown="0" headerRowDxfId="383" dataDxfId="382" dataCellStyle="Comma">
  <autoFilter ref="A286:D293"/>
  <tableColumns count="4">
    <tableColumn id="1" name="Name" dataDxfId="381" dataCellStyle="Comma"/>
    <tableColumn id="2" name="KHUSHVIRJI" dataDxfId="380" dataCellStyle="Comma"/>
    <tableColumn id="3" name="MEDCHAL" dataDxfId="379" dataCellStyle="Comma"/>
    <tableColumn id="4" name="2026-01-04" dataDxfId="378" dataCellStyle="Comma"/>
  </tableColumns>
  <tableStyleInfo name="TableStyleMedium25" showFirstColumn="0" showLastColumn="0" showRowStripes="1" showColumnStripes="0"/>
</table>
</file>

<file path=xl/tables/table63.xml><?xml version="1.0" encoding="utf-8"?>
<table xmlns="http://schemas.openxmlformats.org/spreadsheetml/2006/main" id="63" name="Table73" displayName="Table73" ref="F286:I293" headerRowCount="1" totalsRowShown="0" headerRowDxfId="377" dataDxfId="376" headerRowCellStyle="Comma" dataCellStyle="Comma">
  <autoFilter ref="F286:I293"/>
  <tableColumns count="4">
    <tableColumn id="1" name="Name" dataDxfId="375" dataCellStyle="Comma"/>
    <tableColumn id="2" name="MOHANJI" dataDxfId="374" dataCellStyle="Comma"/>
    <tableColumn id="3" name="J GUTTA" dataDxfId="373" dataCellStyle="Comma"/>
    <tableColumn id="4" name="2026-01-04" dataDxfId="372" dataCellStyle="Comma"/>
  </tableColumns>
  <tableStyleInfo name="TableStyleMedium25" showFirstColumn="0" showLastColumn="0" showRowStripes="1" showColumnStripes="0"/>
</table>
</file>

<file path=xl/tables/table64.xml><?xml version="1.0" encoding="utf-8"?>
<table xmlns="http://schemas.openxmlformats.org/spreadsheetml/2006/main" id="64" name="Table74" displayName="Table74" ref="A295:D302" headerRowCount="1" totalsRowShown="0" headerRowDxfId="371" dataDxfId="370" headerRowCellStyle="Comma" dataCellStyle="Comma">
  <autoFilter ref="A295:D302"/>
  <tableColumns count="4">
    <tableColumn id="1" name="Name" dataDxfId="369" dataCellStyle="Comma"/>
    <tableColumn id="2" name="MUNJI" dataDxfId="368" dataCellStyle="Comma"/>
    <tableColumn id="3" name="RAMARAM" dataDxfId="367" dataCellStyle="Comma"/>
    <tableColumn id="4" name="2026-01-04" dataDxfId="366" dataCellStyle="Comma"/>
  </tableColumns>
  <tableStyleInfo name="TableStyleMedium25" showFirstColumn="0" showLastColumn="0" showRowStripes="1" showColumnStripes="0"/>
</table>
</file>

<file path=xl/tables/table65.xml><?xml version="1.0" encoding="utf-8"?>
<table xmlns="http://schemas.openxmlformats.org/spreadsheetml/2006/main" id="65" name="Table75" displayName="Table75" ref="F295:I302" headerRowCount="1" totalsRowShown="0" headerRowDxfId="365" dataDxfId="364" headerRowCellStyle="Comma" dataCellStyle="Comma">
  <autoFilter ref="F295:I302"/>
  <tableColumns count="4">
    <tableColumn id="1" name="Name" dataDxfId="363" dataCellStyle="Comma"/>
    <tableColumn id="2" name="JAIRUPRAMJI" dataDxfId="362" dataCellStyle="Comma"/>
    <tableColumn id="3" name="RMTPUR" dataDxfId="361" dataCellStyle="Comma"/>
    <tableColumn id="4" name="2026-01-04" dataDxfId="360" dataCellStyle="Comma"/>
  </tableColumns>
  <tableStyleInfo name="TableStyleMedium25" showFirstColumn="0" showLastColumn="0" showRowStripes="1" showColumnStripes="0"/>
</table>
</file>

<file path=xl/tables/table66.xml><?xml version="1.0" encoding="utf-8"?>
<table xmlns="http://schemas.openxmlformats.org/spreadsheetml/2006/main" id="66" name="Table76" displayName="Table76" ref="A304:D311" headerRowCount="1" totalsRowShown="0" headerRowDxfId="359" dataDxfId="358" headerRowCellStyle="Comma" dataCellStyle="Comma">
  <autoFilter ref="A304:D311"/>
  <tableColumns count="4">
    <tableColumn id="1" name="Name" dataDxfId="357" dataCellStyle="Comma"/>
    <tableColumn id="2" name="RAMESHJI" dataDxfId="356" dataCellStyle="Comma"/>
    <tableColumn id="3" name="ALWN COL" dataDxfId="355" dataCellStyle="Comma"/>
    <tableColumn id="4" name="2026-01-04" dataDxfId="354" dataCellStyle="Comma"/>
  </tableColumns>
  <tableStyleInfo name="TableStyleMedium25" showFirstColumn="0" showLastColumn="0" showRowStripes="1" showColumnStripes="0"/>
</table>
</file>

<file path=xl/tables/table67.xml><?xml version="1.0" encoding="utf-8"?>
<table xmlns="http://schemas.openxmlformats.org/spreadsheetml/2006/main" id="67" name="Table77" displayName="Table77" ref="F304:I311" headerRowCount="1" totalsRowShown="0" headerRowDxfId="353" dataDxfId="352" headerRowCellStyle="Comma" dataCellStyle="Comma">
  <autoFilter ref="F304:I311"/>
  <tableColumns count="4">
    <tableColumn id="1" name="Name" dataDxfId="351" dataCellStyle="Comma"/>
    <tableColumn id="2" name="SURESHJI" dataDxfId="350" dataCellStyle="Comma"/>
    <tableColumn id="3" name="KAMAN" dataDxfId="349" dataCellStyle="Comma"/>
    <tableColumn id="4" name="2026-01-04" dataDxfId="348" dataCellStyle="Comma"/>
  </tableColumns>
  <tableStyleInfo name="TableStyleMedium25" showFirstColumn="0" showLastColumn="0" showRowStripes="1" showColumnStripes="0"/>
</table>
</file>

<file path=xl/tables/table68.xml><?xml version="1.0" encoding="utf-8"?>
<table xmlns="http://schemas.openxmlformats.org/spreadsheetml/2006/main" id="68" name="Table78" displayName="Table78" ref="A313:D321" headerRowCount="1" totalsRowShown="0" headerRowDxfId="347" dataDxfId="346" headerRowCellStyle="Comma" dataCellStyle="Comma">
  <autoFilter ref="A313:D321"/>
  <tableColumns count="4">
    <tableColumn id="1" name="Name" dataDxfId="345" dataCellStyle="Comma"/>
    <tableColumn id="2" name="OM" dataDxfId="344" dataCellStyle="Comma"/>
    <tableColumn id="3" name="J GUTTA" dataDxfId="343" dataCellStyle="Comma"/>
    <tableColumn id="4" name="2026-01-04" dataDxfId="342" dataCellStyle="Comma"/>
  </tableColumns>
  <tableStyleInfo name="TableStyleMedium25" showFirstColumn="0" showLastColumn="0" showRowStripes="1" showColumnStripes="0"/>
</table>
</file>

<file path=xl/tables/table69.xml><?xml version="1.0" encoding="utf-8"?>
<table xmlns="http://schemas.openxmlformats.org/spreadsheetml/2006/main" id="69" name="Table79" displayName="Table79" ref="F313:I320" headerRowCount="1" totalsRowShown="0" headerRowDxfId="341" dataDxfId="340" headerRowCellStyle="Comma" dataCellStyle="Comma">
  <autoFilter ref="F313:I320"/>
  <tableColumns count="4">
    <tableColumn id="1" name="Name" dataDxfId="339" dataCellStyle="Comma"/>
    <tableColumn id="2" name="NARAYANJI" dataDxfId="338" dataCellStyle="Comma"/>
    <tableColumn id="3" name="ALWAL" dataDxfId="337" dataCellStyle="Comma"/>
    <tableColumn id="4" name="2026-01-04" dataDxfId="336" dataCellStyle="Comma"/>
  </tableColumns>
  <tableStyleInfo name="TableStyleMedium25" showFirstColumn="0" showLastColumn="0" showRowStripes="1" showColumnStripes="0"/>
</table>
</file>

<file path=xl/tables/table70.xml><?xml version="1.0" encoding="utf-8"?>
<table xmlns="http://schemas.openxmlformats.org/spreadsheetml/2006/main" id="70" name="Table80" displayName="Table80" ref="A322:D329" headerRowCount="1" totalsRowShown="0" headerRowDxfId="335" dataDxfId="334" headerRowCellStyle="Comma" dataCellStyle="Comma">
  <autoFilter ref="A322:D329"/>
  <tableColumns count="4">
    <tableColumn id="1" name="Name" dataDxfId="333" dataCellStyle="Comma"/>
    <tableColumn id="2" name="BABULALJI" dataDxfId="332" dataCellStyle="Comma"/>
    <tableColumn id="3" name="CHILKA NGR" dataDxfId="331" dataCellStyle="Comma"/>
    <tableColumn id="4" name="2026-01-04" dataDxfId="330" dataCellStyle="Comma"/>
  </tableColumns>
  <tableStyleInfo name="TableStyleMedium25" showFirstColumn="0" showLastColumn="0" showRowStripes="1" showColumnStripes="0"/>
</table>
</file>

<file path=xl/tables/table71.xml><?xml version="1.0" encoding="utf-8"?>
<table xmlns="http://schemas.openxmlformats.org/spreadsheetml/2006/main" id="71" name="Table81" displayName="Table81" ref="F322:I329" headerRowCount="1" totalsRowShown="0" headerRowDxfId="329" dataDxfId="328" headerRowCellStyle="Comma" dataCellStyle="Comma">
  <autoFilter ref="F322:I329"/>
  <tableColumns count="4">
    <tableColumn id="1" name="Name" dataDxfId="327" dataCellStyle="Comma"/>
    <tableColumn id="2" name="CHENJI" dataDxfId="326" dataCellStyle="Comma"/>
    <tableColumn id="3" name="BOLARAM" dataDxfId="325" dataCellStyle="Comma"/>
    <tableColumn id="4" name="2026-01-04" dataDxfId="324" dataCellStyle="Comma"/>
  </tableColumns>
  <tableStyleInfo name="TableStyleMedium25" showFirstColumn="0" showLastColumn="0" showRowStripes="1" showColumnStripes="0"/>
</table>
</file>

<file path=xl/tables/table72.xml><?xml version="1.0" encoding="utf-8"?>
<table xmlns="http://schemas.openxmlformats.org/spreadsheetml/2006/main" id="72" name="Table82" displayName="Table82" ref="A331:D338" headerRowCount="1" totalsRowShown="0" headerRowDxfId="323" dataDxfId="322" headerRowCellStyle="Comma" dataCellStyle="Comma">
  <autoFilter ref="A331:D338"/>
  <tableColumns count="4">
    <tableColumn id="1" name="Name" dataDxfId="321" dataCellStyle="Comma"/>
    <tableColumn id="2" name="MUKESHJI" dataDxfId="320" dataCellStyle="Comma"/>
    <tableColumn id="3" name="RAMARAM" dataDxfId="319" dataCellStyle="Comma"/>
    <tableColumn id="4" name="2026-01-04" dataDxfId="318" dataCellStyle="Comma"/>
  </tableColumns>
  <tableStyleInfo name="TableStyleMedium25" showFirstColumn="0" showLastColumn="0" showRowStripes="1" showColumnStripes="0"/>
</table>
</file>

<file path=xl/tables/table73.xml><?xml version="1.0" encoding="utf-8"?>
<table xmlns="http://schemas.openxmlformats.org/spreadsheetml/2006/main" id="73" name="Table83" displayName="Table83" ref="F331:I338" headerRowCount="1" totalsRowShown="0" headerRowDxfId="317" dataDxfId="316" headerRowCellStyle="Comma" dataCellStyle="Comma">
  <autoFilter ref="F331:I338"/>
  <tableColumns count="4">
    <tableColumn id="1" name="Name" dataDxfId="315" dataCellStyle="Comma"/>
    <tableColumn id="2" name="MOHANJI" dataDxfId="314" dataCellStyle="Comma"/>
    <tableColumn id="3" name="YAMJAL" dataDxfId="313" dataCellStyle="Comma"/>
    <tableColumn id="4" name="2026-01-04" dataDxfId="312" dataCellStyle="Comma"/>
  </tableColumns>
  <tableStyleInfo name="TableStyleMedium25" showFirstColumn="0" showLastColumn="0" showRowStripes="1" showColumnStripes="0"/>
</table>
</file>

<file path=xl/tables/table74.xml><?xml version="1.0" encoding="utf-8"?>
<table xmlns="http://schemas.openxmlformats.org/spreadsheetml/2006/main" id="74" name="Table84" displayName="Table84" ref="A340:D347" headerRowCount="1" totalsRowShown="0" headerRowDxfId="311" dataDxfId="310" headerRowCellStyle="Comma" dataCellStyle="Comma">
  <autoFilter ref="A340:D347"/>
  <tableColumns count="4">
    <tableColumn id="1" name="Name" dataDxfId="309" dataCellStyle="Comma"/>
    <tableColumn id="2" name="MISRILALJI" dataDxfId="308" dataCellStyle="Comma"/>
    <tableColumn id="3" name="MEDCHAL" dataDxfId="307" dataCellStyle="Comma"/>
    <tableColumn id="4" name="2026-01-04" dataDxfId="306" dataCellStyle="Comma"/>
  </tableColumns>
  <tableStyleInfo name="TableStyleMedium25" showFirstColumn="0" showLastColumn="0" showRowStripes="1" showColumnStripes="0"/>
</table>
</file>

<file path=xl/tables/table75.xml><?xml version="1.0" encoding="utf-8"?>
<table xmlns="http://schemas.openxmlformats.org/spreadsheetml/2006/main" id="75" name="Table85" displayName="Table85" ref="F340:I347" headerRowCount="1" totalsRowShown="0" headerRowDxfId="305" dataDxfId="304" headerRowCellStyle="Comma" dataCellStyle="Comma">
  <autoFilter ref="F340:I347"/>
  <tableColumns count="4">
    <tableColumn id="1" name="Name" dataDxfId="303" dataCellStyle="Comma"/>
    <tableColumn id="2" name="GOPJI" dataDxfId="302" dataCellStyle="Comma"/>
    <tableColumn id="3" name="KOTLAPUR" dataDxfId="301" dataCellStyle="Comma"/>
    <tableColumn id="4" name="2026-01-04" dataDxfId="300" dataCellStyle="Comma"/>
  </tableColumns>
  <tableStyleInfo name="TableStyleMedium25" showFirstColumn="0" showLastColumn="0" showRowStripes="1" showColumnStripes="0"/>
</table>
</file>

<file path=xl/tables/table76.xml><?xml version="1.0" encoding="utf-8"?>
<table xmlns="http://schemas.openxmlformats.org/spreadsheetml/2006/main" id="76" name="Table86" displayName="Table86" ref="A349:D356" headerRowCount="1" totalsRowShown="0" headerRowDxfId="299" dataDxfId="298" headerRowCellStyle="Comma" dataCellStyle="Comma">
  <autoFilter ref="A349:D356"/>
  <tableColumns count="4">
    <tableColumn id="1" name="Name" dataDxfId="297" dataCellStyle="Comma"/>
    <tableColumn id="2" name="GOVIND" dataDxfId="296" dataCellStyle="Comma"/>
    <tableColumn id="3" name="PPR NGR" dataDxfId="295" dataCellStyle="Comma"/>
    <tableColumn id="4" name="2026-01-04" dataDxfId="294" dataCellStyle="Comma"/>
  </tableColumns>
  <tableStyleInfo name="TableStyleMedium25" showFirstColumn="0" showLastColumn="0" showRowStripes="1" showColumnStripes="0"/>
</table>
</file>

<file path=xl/tables/table77.xml><?xml version="1.0" encoding="utf-8"?>
<table xmlns="http://schemas.openxmlformats.org/spreadsheetml/2006/main" id="77" name="Table87" displayName="Table87" ref="F349:I356" headerRowCount="1" totalsRowShown="0" headerRowDxfId="293" dataDxfId="292" headerRowCellStyle="Comma" dataCellStyle="Comma">
  <autoFilter ref="F349:I356"/>
  <tableColumns count="4">
    <tableColumn id="1" name="Name" dataDxfId="291" dataCellStyle="Comma"/>
    <tableColumn id="2" name="NEMJI" dataDxfId="290" dataCellStyle="Comma"/>
    <tableColumn id="3" name="SUCHITRA" dataDxfId="289" dataCellStyle="Comma"/>
    <tableColumn id="4" name="2026-01-04" dataDxfId="288" dataCellStyle="Comma"/>
  </tableColumns>
  <tableStyleInfo name="TableStyleMedium25" showFirstColumn="0" showLastColumn="0" showRowStripes="1" showColumnStripes="0"/>
</table>
</file>

<file path=xl/tables/table78.xml><?xml version="1.0" encoding="utf-8"?>
<table xmlns="http://schemas.openxmlformats.org/spreadsheetml/2006/main" id="78" name="Table88" displayName="Table88" ref="A358:D365" headerRowCount="1" totalsRowShown="0" headerRowDxfId="287" dataDxfId="286" headerRowCellStyle="Comma" dataCellStyle="Comma">
  <autoFilter ref="A358:D365"/>
  <tableColumns count="4">
    <tableColumn id="1" name="Name" dataDxfId="285" dataCellStyle="Comma"/>
    <tableColumn id="2" name="SOHANLALJI" dataDxfId="284" dataCellStyle="Comma"/>
    <tableColumn id="3" name="RR NGR" dataDxfId="283" dataCellStyle="Comma"/>
    <tableColumn id="4" name="2026-01-04" dataDxfId="282" dataCellStyle="Comma"/>
  </tableColumns>
  <tableStyleInfo name="TableStyleMedium25" showFirstColumn="0" showLastColumn="0" showRowStripes="1" showColumnStripes="0"/>
</table>
</file>

<file path=xl/tables/table79.xml><?xml version="1.0" encoding="utf-8"?>
<table xmlns="http://schemas.openxmlformats.org/spreadsheetml/2006/main" id="79" name="Table89" displayName="Table89" ref="F358:I365" headerRowCount="1" totalsRowShown="0" headerRowDxfId="281" dataDxfId="280" headerRowCellStyle="Comma" dataCellStyle="Comma">
  <autoFilter ref="F358:I365"/>
  <tableColumns count="4">
    <tableColumn id="1" name="Name" dataDxfId="279" dataCellStyle="Comma"/>
    <tableColumn id="2" name="HIMTARAMJI" dataDxfId="278" dataCellStyle="Comma"/>
    <tableColumn id="3" name="SURARAM" dataDxfId="277" dataCellStyle="Comma"/>
    <tableColumn id="4" name="2026-01-04" dataDxfId="276" dataCellStyle="Comma"/>
  </tableColumns>
  <tableStyleInfo name="TableStyleMedium25" showFirstColumn="0" showLastColumn="0" showRowStripes="1" showColumnStripes="0"/>
</table>
</file>

<file path=xl/tables/table80.xml><?xml version="1.0" encoding="utf-8"?>
<table xmlns="http://schemas.openxmlformats.org/spreadsheetml/2006/main" id="80" name="Table90" displayName="Table90" ref="A367:D374" headerRowCount="1" totalsRowShown="0" headerRowDxfId="275" dataDxfId="274" headerRowCellStyle="Comma" dataCellStyle="Comma">
  <autoFilter ref="A367:D374"/>
  <tableColumns count="4">
    <tableColumn id="1" name="Name" dataDxfId="273" dataCellStyle="Comma"/>
    <tableColumn id="2" name="KISHANJI(3)" dataDxfId="272" dataCellStyle="Comma"/>
    <tableColumn id="3" name="KAMAN" dataDxfId="271" dataCellStyle="Comma"/>
    <tableColumn id="4" name="2026-01-04" dataDxfId="270" dataCellStyle="Comma"/>
  </tableColumns>
  <tableStyleInfo name="TableStyleMedium25" showFirstColumn="0" showLastColumn="0" showRowStripes="1" showColumnStripes="0"/>
</table>
</file>

<file path=xl/tables/table81.xml><?xml version="1.0" encoding="utf-8"?>
<table xmlns="http://schemas.openxmlformats.org/spreadsheetml/2006/main" id="81" name="Table91" displayName="Table91" ref="F367:I374" headerRowCount="1" totalsRowShown="0" headerRowDxfId="269" dataDxfId="268" headerRowCellStyle="Comma" dataCellStyle="Comma">
  <autoFilter ref="F367:I374"/>
  <tableColumns count="4">
    <tableColumn id="1" name="Name" dataDxfId="267" dataCellStyle="Comma"/>
    <tableColumn id="2" name="CHENJI" dataDxfId="266" dataCellStyle="Comma"/>
    <tableColumn id="3" name="SURARAM" dataDxfId="265" dataCellStyle="Comma"/>
    <tableColumn id="4" name="2026-01-04" dataDxfId="264" dataCellStyle="Comma"/>
  </tableColumns>
  <tableStyleInfo name="TableStyleMedium25" showFirstColumn="0" showLastColumn="0" showRowStripes="1" showColumnStripes="0"/>
</table>
</file>

<file path=xl/tables/table82.xml><?xml version="1.0" encoding="utf-8"?>
<table xmlns="http://schemas.openxmlformats.org/spreadsheetml/2006/main" id="82" name="Table92" displayName="Table92" ref="A376:D383" headerRowCount="1" totalsRowShown="0" headerRowDxfId="263" dataDxfId="262" headerRowCellStyle="Comma" dataCellStyle="Comma">
  <autoFilter ref="A376:D383"/>
  <tableColumns count="4">
    <tableColumn id="1" name="Name" dataDxfId="261" dataCellStyle="Comma"/>
    <tableColumn id="2" name="RAMESHJI" dataDxfId="260" dataCellStyle="Comma"/>
    <tableColumn id="3" name="SHAPUR" dataDxfId="259" dataCellStyle="Comma"/>
    <tableColumn id="4" name="2026-01-04" dataDxfId="258" dataCellStyle="Comma"/>
  </tableColumns>
  <tableStyleInfo name="TableStyleMedium25" showFirstColumn="0" showLastColumn="0" showRowStripes="1" showColumnStripes="0"/>
</table>
</file>

<file path=xl/tables/table83.xml><?xml version="1.0" encoding="utf-8"?>
<table xmlns="http://schemas.openxmlformats.org/spreadsheetml/2006/main" id="83" name="Table93" displayName="Table93" ref="F376:I383" headerRowCount="1" totalsRowShown="0" headerRowDxfId="257" dataDxfId="256" headerRowCellStyle="Comma" dataCellStyle="Comma">
  <autoFilter ref="F376:I383"/>
  <tableColumns count="4">
    <tableColumn id="1" name="Name" dataDxfId="255" dataCellStyle="Comma"/>
    <tableColumn id="2" name="OMJI" dataDxfId="254" dataCellStyle="Comma"/>
    <tableColumn id="3" name="SEC" dataDxfId="253" dataCellStyle="Comma"/>
    <tableColumn id="4" name="2026-01-04" dataDxfId="252" dataCellStyle="Comma"/>
  </tableColumns>
  <tableStyleInfo name="TableStyleMedium25" showFirstColumn="0" showLastColumn="0" showRowStripes="1" showColumnStripes="0"/>
</table>
</file>

<file path=xl/tables/table84.xml><?xml version="1.0" encoding="utf-8"?>
<table xmlns="http://schemas.openxmlformats.org/spreadsheetml/2006/main" id="84" name="Table94" displayName="Table94" ref="A385:D392" headerRowCount="1" totalsRowShown="0" headerRowDxfId="251" dataDxfId="250" headerRowCellStyle="Comma" dataCellStyle="Comma">
  <autoFilter ref="A385:D392"/>
  <tableColumns count="4">
    <tableColumn id="1" name="Name" dataDxfId="249" dataCellStyle="Comma"/>
    <tableColumn id="2" name="MISRILALJI" dataDxfId="248" dataCellStyle="Comma"/>
    <tableColumn id="3" name="SEC" dataDxfId="247" dataCellStyle="Comma"/>
    <tableColumn id="4" name="2026-01-04" dataDxfId="246" dataCellStyle="Comma"/>
  </tableColumns>
  <tableStyleInfo name="TableStyleMedium25" showFirstColumn="0" showLastColumn="0" showRowStripes="1" showColumnStripes="0"/>
</table>
</file>

<file path=xl/tables/table85.xml><?xml version="1.0" encoding="utf-8"?>
<table xmlns="http://schemas.openxmlformats.org/spreadsheetml/2006/main" id="85" name="Table95" displayName="Table95" ref="F385:I392" headerRowCount="1" totalsRowShown="0" headerRowDxfId="245" dataDxfId="244" headerRowCellStyle="Comma" dataCellStyle="Comma">
  <autoFilter ref="F385:I392"/>
  <tableColumns count="4">
    <tableColumn id="1" name="Name" dataDxfId="243" dataCellStyle="Comma"/>
    <tableColumn id="2" name="MOTIJI" dataDxfId="242" dataCellStyle="Comma"/>
    <tableColumn id="3" name="MUSAPET" dataDxfId="241" dataCellStyle="Comma"/>
    <tableColumn id="4" name="2026-01-04" dataDxfId="240" dataCellStyle="Comma"/>
  </tableColumns>
  <tableStyleInfo name="TableStyleMedium25" showFirstColumn="0" showLastColumn="0" showRowStripes="1" showColumnStripes="0"/>
</table>
</file>

<file path=xl/tables/table86.xml><?xml version="1.0" encoding="utf-8"?>
<table xmlns="http://schemas.openxmlformats.org/spreadsheetml/2006/main" id="86" name="Table96" displayName="Table96" ref="A394:D401" headerRowCount="1" totalsRowShown="0" headerRowDxfId="239" dataDxfId="238" headerRowCellStyle="Comma" dataCellStyle="Comma">
  <autoFilter ref="A394:D401"/>
  <tableColumns count="4">
    <tableColumn id="1" name="Name" dataDxfId="237" dataCellStyle="Comma"/>
    <tableColumn id="2" name="BAGDARAMJI" dataDxfId="236" dataCellStyle="Comma"/>
    <tableColumn id="3" name="GANDHINGR" dataDxfId="235" dataCellStyle="Comma"/>
    <tableColumn id="4" name="2026-01-04" dataDxfId="234" dataCellStyle="Comma"/>
  </tableColumns>
  <tableStyleInfo name="TableStyleMedium25" showFirstColumn="0" showLastColumn="0" showRowStripes="1" showColumnStripes="0"/>
</table>
</file>

<file path=xl/tables/table87.xml><?xml version="1.0" encoding="utf-8"?>
<table xmlns="http://schemas.openxmlformats.org/spreadsheetml/2006/main" id="87" name="Table97" displayName="Table97" ref="F394:I401" headerRowCount="1" totalsRowShown="0" headerRowDxfId="233" dataDxfId="232" headerRowCellStyle="Comma" dataCellStyle="Comma">
  <autoFilter ref="F394:I401"/>
  <tableColumns count="4">
    <tableColumn id="1" name="Name" dataDxfId="231" dataCellStyle="Comma"/>
    <tableColumn id="2" name="KANJI" dataDxfId="230" dataCellStyle="Comma"/>
    <tableColumn id="3" name="SANGA RDY" dataDxfId="229" dataCellStyle="Comma"/>
    <tableColumn id="4" name="2026-01-04" dataDxfId="228" dataCellStyle="Comma"/>
  </tableColumns>
  <tableStyleInfo name="TableStyleMedium25" showFirstColumn="0" showLastColumn="0" showRowStripes="1" showColumnStripes="0"/>
</table>
</file>

<file path=xl/tables/table88.xml><?xml version="1.0" encoding="utf-8"?>
<table xmlns="http://schemas.openxmlformats.org/spreadsheetml/2006/main" id="88" name="Table98" displayName="Table98" ref="A403:D410" headerRowCount="1" totalsRowShown="0" headerRowDxfId="227" dataDxfId="226" dataCellStyle="Comma">
  <autoFilter ref="A403:D410"/>
  <tableColumns count="4">
    <tableColumn id="1" name="Name" dataDxfId="225" dataCellStyle="Comma"/>
    <tableColumn id="2" name="NEMARANJI" dataDxfId="224" dataCellStyle="Comma"/>
    <tableColumn id="3" name="INDERSUM" dataDxfId="223" dataCellStyle="Comma"/>
    <tableColumn id="4" name="2026-01-04" dataDxfId="222" dataCellStyle="Comma"/>
  </tableColumns>
  <tableStyleInfo name="TableStyleMedium25" showFirstColumn="0" showLastColumn="0" showRowStripes="1" showColumnStripes="0"/>
</table>
</file>

<file path=xl/tables/table89.xml><?xml version="1.0" encoding="utf-8"?>
<table xmlns="http://schemas.openxmlformats.org/spreadsheetml/2006/main" id="89" name="Table99" displayName="Table99" ref="F403:I410" headerRowCount="1" totalsRowShown="0" headerRowDxfId="221" dataDxfId="220" headerRowCellStyle="Comma" dataCellStyle="Comma">
  <autoFilter ref="F403:I410"/>
  <tableColumns count="4">
    <tableColumn id="1" name="Name" dataDxfId="219" dataCellStyle="Comma"/>
    <tableColumn id="2" name="BUDARAMJI" dataDxfId="218" dataCellStyle="Comma"/>
    <tableColumn id="3" name="PADMA NR" dataDxfId="217" dataCellStyle="Comma"/>
    <tableColumn id="4" name="2026-01-04" dataDxfId="216" dataCellStyle="Comma"/>
  </tableColumns>
  <tableStyleInfo name="TableStyleMedium25" showFirstColumn="0" showLastColumn="0" showRowStripes="1" showColumnStripes="0"/>
</table>
</file>

<file path=xl/tables/table90.xml><?xml version="1.0" encoding="utf-8"?>
<table xmlns="http://schemas.openxmlformats.org/spreadsheetml/2006/main" id="90" name="Table100" displayName="Table100" ref="A412:D419" headerRowCount="1" totalsRowShown="0" headerRowDxfId="215" dataDxfId="214" dataCellStyle="Comma">
  <autoFilter ref="A412:D419"/>
  <tableColumns count="4">
    <tableColumn id="1" name="Name" dataDxfId="213" dataCellStyle="Comma"/>
    <tableColumn id="2" name="HEMANTJI" dataDxfId="212" dataCellStyle="Comma"/>
    <tableColumn id="3" name="SURARAM" dataDxfId="211" dataCellStyle="Comma"/>
    <tableColumn id="4" name="2026-01-04" dataDxfId="210" dataCellStyle="Comma"/>
  </tableColumns>
  <tableStyleInfo name="TableStyleMedium25" showFirstColumn="0" showLastColumn="0" showRowStripes="1" showColumnStripes="0"/>
</table>
</file>

<file path=xl/tables/table91.xml><?xml version="1.0" encoding="utf-8"?>
<table xmlns="http://schemas.openxmlformats.org/spreadsheetml/2006/main" id="91" name="Table101" displayName="Table101" ref="F412:I419" headerRowCount="1" totalsRowShown="0" headerRowDxfId="209" dataDxfId="208" headerRowCellStyle="Comma" dataCellStyle="Comma">
  <autoFilter ref="F412:I419"/>
  <tableColumns count="4">
    <tableColumn id="1" name="Name" dataDxfId="207" dataCellStyle="Comma"/>
    <tableColumn id="2" name="KEWALJI" dataDxfId="206" dataCellStyle="Comma"/>
    <tableColumn id="3" name="GOMARAM" dataDxfId="205" dataCellStyle="Comma"/>
    <tableColumn id="4" name="2026-01-04" dataDxfId="204" dataCellStyle="Comma"/>
  </tableColumns>
  <tableStyleInfo name="TableStyleMedium25" showFirstColumn="0" showLastColumn="0" showRowStripes="1" showColumnStripes="0"/>
</table>
</file>

<file path=xl/tables/table92.xml><?xml version="1.0" encoding="utf-8"?>
<table xmlns="http://schemas.openxmlformats.org/spreadsheetml/2006/main" id="92" name="Table102" displayName="Table102" ref="A421:D428" headerRowCount="1" totalsRowShown="0" headerRowDxfId="203" dataDxfId="202" dataCellStyle="Comma">
  <autoFilter ref="A421:D428"/>
  <tableColumns count="4">
    <tableColumn id="1" name="Name" dataDxfId="201" dataCellStyle="Comma"/>
    <tableColumn id="2" name="RAJUJI" dataDxfId="200" dataCellStyle="Comma"/>
    <tableColumn id="3" name="SHAPUR" dataDxfId="199" dataCellStyle="Comma"/>
    <tableColumn id="4" name="2026-01-04" dataDxfId="198" dataCellStyle="Comma"/>
  </tableColumns>
  <tableStyleInfo name="TableStyleMedium25" showFirstColumn="0" showLastColumn="0" showRowStripes="1" showColumnStripes="0"/>
</table>
</file>

<file path=xl/tables/table93.xml><?xml version="1.0" encoding="utf-8"?>
<table xmlns="http://schemas.openxmlformats.org/spreadsheetml/2006/main" id="93" name="Table103" displayName="Table103" ref="F421:I428" headerRowCount="1" totalsRowShown="0" headerRowDxfId="197" dataDxfId="196" dataCellStyle="Comma">
  <autoFilter ref="F421:I428"/>
  <tableColumns count="4">
    <tableColumn id="1" name="Name" dataDxfId="195" dataCellStyle="Comma"/>
    <tableColumn id="2" name="SESHARAMJI" dataDxfId="194" dataCellStyle="Comma"/>
    <tableColumn id="3" name="J GUTTA" dataDxfId="193" dataCellStyle="Comma"/>
    <tableColumn id="4" name="2026-01-04" dataDxfId="192" dataCellStyle="Comma"/>
  </tableColumns>
  <tableStyleInfo name="TableStyleMedium25" showFirstColumn="0" showLastColumn="0" showRowStripes="1" showColumnStripes="0"/>
</table>
</file>

<file path=xl/tables/table94.xml><?xml version="1.0" encoding="utf-8"?>
<table xmlns="http://schemas.openxmlformats.org/spreadsheetml/2006/main" id="94" name="Table104" displayName="Table104" ref="A430:D437" headerRowCount="1" totalsRowShown="0" headerRowDxfId="191" dataDxfId="190" dataCellStyle="Comma">
  <autoFilter ref="A430:D437"/>
  <tableColumns count="4">
    <tableColumn id="1" name="Name" dataDxfId="189" dataCellStyle="Comma"/>
    <tableColumn id="2" name="GOUTAMJI" dataDxfId="188" dataCellStyle="Comma"/>
    <tableColumn id="3" name="RAMARAM" dataDxfId="187" dataCellStyle="Comma"/>
    <tableColumn id="4" name="2026-01-04" dataDxfId="186" dataCellStyle="Comma"/>
  </tableColumns>
  <tableStyleInfo name="TableStyleMedium25" showFirstColumn="0" showLastColumn="0" showRowStripes="1" showColumnStripes="0"/>
</table>
</file>

<file path=xl/tables/table95.xml><?xml version="1.0" encoding="utf-8"?>
<table xmlns="http://schemas.openxmlformats.org/spreadsheetml/2006/main" id="95" name="Table105" displayName="Table105" ref="F430:I437" headerRowCount="1" totalsRowShown="0" headerRowDxfId="185" dataDxfId="184" dataCellStyle="Comma">
  <autoFilter ref="F430:I437"/>
  <tableColumns count="4">
    <tableColumn id="1" name="Name" dataDxfId="183" dataCellStyle="Comma"/>
    <tableColumn id="2" name="PRAKASHJI" dataDxfId="182" dataCellStyle="Comma"/>
    <tableColumn id="3" name="INDARSAM" dataDxfId="181" dataCellStyle="Comma"/>
    <tableColumn id="4" name="2026-01-04" dataDxfId="180" dataCellStyle="Comma"/>
  </tableColumns>
  <tableStyleInfo name="TableStyleMedium25" showFirstColumn="0" showLastColumn="0" showRowStripes="1" showColumnStripes="0"/>
</table>
</file>

<file path=xl/tables/table96.xml><?xml version="1.0" encoding="utf-8"?>
<table xmlns="http://schemas.openxmlformats.org/spreadsheetml/2006/main" id="96" name="Table106" displayName="Table106" ref="A439:D446" headerRowCount="1" totalsRowShown="0" headerRowDxfId="179" dataDxfId="178" dataCellStyle="Comma">
  <autoFilter ref="A439:D446"/>
  <tableColumns count="4">
    <tableColumn id="1" name="Name" dataDxfId="177" dataCellStyle="Comma"/>
    <tableColumn id="2" name="BHERARAMJI" dataDxfId="176" dataCellStyle="Comma"/>
    <tableColumn id="3" name="SURARAM" dataDxfId="175" dataCellStyle="Comma"/>
    <tableColumn id="4" name="2026-01-04" dataDxfId="174" dataCellStyle="Comma"/>
  </tableColumns>
  <tableStyleInfo name="TableStyleMedium25" showFirstColumn="0" showLastColumn="0" showRowStripes="1" showColumnStripes="0"/>
</table>
</file>

<file path=xl/tables/table97.xml><?xml version="1.0" encoding="utf-8"?>
<table xmlns="http://schemas.openxmlformats.org/spreadsheetml/2006/main" id="97" name="Table107" displayName="Table107" ref="F439:I446" headerRowCount="1" totalsRowShown="0" headerRowDxfId="173" dataDxfId="172" dataCellStyle="Comma">
  <autoFilter ref="F439:I446"/>
  <tableColumns count="4">
    <tableColumn id="1" name="Name" dataDxfId="171" dataCellStyle="Comma"/>
    <tableColumn id="2" name="TARJI (R J)" dataDxfId="170" dataCellStyle="Comma"/>
    <tableColumn id="3" name="SURARAM" dataDxfId="169" dataCellStyle="Comma"/>
    <tableColumn id="4" name="2026-01-04" dataDxfId="168" dataCellStyle="Comma"/>
  </tableColumns>
  <tableStyleInfo name="TableStyleMedium25" showFirstColumn="0" showLastColumn="0" showRowStripes="1" showColumnStripes="0"/>
</table>
</file>

<file path=xl/tables/table98.xml><?xml version="1.0" encoding="utf-8"?>
<table xmlns="http://schemas.openxmlformats.org/spreadsheetml/2006/main" id="98" name="Table108" displayName="Table108" ref="A448:D455" headerRowCount="1" totalsRowShown="0" headerRowDxfId="167" dataDxfId="166" dataCellStyle="Comma">
  <autoFilter ref="A448:D455"/>
  <tableColumns count="4">
    <tableColumn id="1" name="Name" dataDxfId="165" dataCellStyle="Comma"/>
    <tableColumn id="2" name="MISRILALJI" dataDxfId="164" dataCellStyle="Comma"/>
    <tableColumn id="3" name="GUTTA" dataDxfId="163" dataCellStyle="Comma"/>
    <tableColumn id="4" name="2026-01-04" dataDxfId="162" dataCellStyle="Comma"/>
  </tableColumns>
  <tableStyleInfo name="TableStyleMedium25" showFirstColumn="0" showLastColumn="0" showRowStripes="1" showColumnStripes="0"/>
</table>
</file>

<file path=xl/tables/table99.xml><?xml version="1.0" encoding="utf-8"?>
<table xmlns="http://schemas.openxmlformats.org/spreadsheetml/2006/main" id="99" name="Table109" displayName="Table109" ref="F448:I455" headerRowCount="1" totalsRowShown="0" headerRowDxfId="161" dataDxfId="160" dataCellStyle="Comma">
  <autoFilter ref="F448:I455"/>
  <tableColumns count="4">
    <tableColumn id="1" name="Name" dataDxfId="159" dataCellStyle="Comma"/>
    <tableColumn id="2" name="RAKESHDASHJI" dataDxfId="158" dataCellStyle="Comma"/>
    <tableColumn id="3" name="GUTTA" dataDxfId="157" dataCellStyle="Comma"/>
    <tableColumn id="4" name="2026-01-04" dataDxfId="156" dataCellStyle="Comma"/>
  </tableColumns>
  <tableStyleInfo name="TableStyleMedium25" showFirstColumn="0" showLastColumn="0" showRowStripes="1" showColumnStripes="0"/>
</table>
</file>

<file path=xl/tables/table100.xml><?xml version="1.0" encoding="utf-8"?>
<table xmlns="http://schemas.openxmlformats.org/spreadsheetml/2006/main" id="100" name="Table110" displayName="Table110" ref="A457:D464" headerRowCount="1" totalsRowShown="0" headerRowDxfId="155" dataDxfId="154" dataCellStyle="Comma">
  <autoFilter ref="A457:D464"/>
  <tableColumns count="4">
    <tableColumn id="1" name="Name" dataDxfId="153" dataCellStyle="Comma"/>
    <tableColumn id="2" name="RAMESHJI" dataDxfId="152" dataCellStyle="Comma"/>
    <tableColumn id="3" name="BOOK GUTA" dataDxfId="151" dataCellStyle="Comma"/>
    <tableColumn id="4" name="2026-01-04" dataDxfId="150" dataCellStyle="Comma"/>
  </tableColumns>
  <tableStyleInfo name="TableStyleMedium25" showFirstColumn="0" showLastColumn="0" showRowStripes="1" showColumnStripes="0"/>
</table>
</file>

<file path=xl/tables/table101.xml><?xml version="1.0" encoding="utf-8"?>
<table xmlns="http://schemas.openxmlformats.org/spreadsheetml/2006/main" id="101" name="Table111" displayName="Table111" ref="F457:I464" headerRowCount="1" totalsRowShown="0" headerRowDxfId="149" dataDxfId="148" dataCellStyle="Comma">
  <autoFilter ref="F457:I464"/>
  <tableColumns count="4">
    <tableColumn id="1" name="Name" dataDxfId="147" dataCellStyle="Comma"/>
    <tableColumn id="2" name="HEERJI" dataDxfId="146" dataCellStyle="Comma"/>
    <tableColumn id="3" name="HANUMAN NG" dataDxfId="145" dataCellStyle="Comma"/>
    <tableColumn id="4" name="2026-01-04" dataDxfId="144" dataCellStyle="Comma"/>
  </tableColumns>
  <tableStyleInfo name="TableStyleMedium25" showFirstColumn="0" showLastColumn="0" showRowStripes="1" showColumnStripes="0"/>
</table>
</file>

<file path=xl/tables/table102.xml><?xml version="1.0" encoding="utf-8"?>
<table xmlns="http://schemas.openxmlformats.org/spreadsheetml/2006/main" id="102" name="Table112" displayName="Table112" ref="A466:D473" headerRowCount="1" totalsRowShown="0" headerRowDxfId="143" dataDxfId="142" dataCellStyle="Comma">
  <autoFilter ref="A466:D473"/>
  <tableColumns count="4">
    <tableColumn id="1" name="Name" dataDxfId="141" dataCellStyle="Comma"/>
    <tableColumn id="2" name="VALARAMJI" dataDxfId="140" dataCellStyle="Comma"/>
    <tableColumn id="3" name="CHINTAL" dataDxfId="139" dataCellStyle="Comma"/>
    <tableColumn id="4" name="2026-01-04" dataDxfId="138" dataCellStyle="Comma"/>
  </tableColumns>
  <tableStyleInfo name="TableStyleMedium25" showFirstColumn="0" showLastColumn="0" showRowStripes="1" showColumnStripes="0"/>
</table>
</file>

<file path=xl/tables/table103.xml><?xml version="1.0" encoding="utf-8"?>
<table xmlns="http://schemas.openxmlformats.org/spreadsheetml/2006/main" id="103" name="Table113" displayName="Table113" ref="F466:I473" headerRowCount="1" totalsRowShown="0" headerRowDxfId="137" dataDxfId="136" dataCellStyle="Comma">
  <autoFilter ref="F466:I473"/>
  <tableColumns count="4">
    <tableColumn id="1" name="Name" dataDxfId="135" dataCellStyle="Comma"/>
    <tableColumn id="2" name="NEMARAMJI" dataDxfId="134" dataCellStyle="Comma"/>
    <tableColumn id="3" name="KOMPALY" dataDxfId="133" dataCellStyle="Comma"/>
    <tableColumn id="4" name="2026-01-04" dataDxfId="132" dataCellStyle="Comma"/>
  </tableColumns>
  <tableStyleInfo name="TableStyleMedium25" showFirstColumn="0" showLastColumn="0" showRowStripes="1" showColumnStripes="0"/>
</table>
</file>

<file path=xl/tables/table104.xml><?xml version="1.0" encoding="utf-8"?>
<table xmlns="http://schemas.openxmlformats.org/spreadsheetml/2006/main" id="104" name="Table114" displayName="Table114" ref="A475:D482" headerRowCount="1" totalsRowShown="0" headerRowDxfId="131" dataDxfId="130" dataCellStyle="Comma">
  <autoFilter ref="A475:D482"/>
  <tableColumns count="4">
    <tableColumn id="1" name="Name" dataDxfId="129" dataCellStyle="Comma"/>
    <tableColumn id="2" name="NARAYANLALJI" dataDxfId="128" dataCellStyle="Comma"/>
    <tableColumn id="3" name="SURARAM" dataDxfId="127" dataCellStyle="Comma"/>
    <tableColumn id="4" name="2026-01-04" dataDxfId="126" dataCellStyle="Comma"/>
  </tableColumns>
  <tableStyleInfo name="TableStyleMedium25" showFirstColumn="0" showLastColumn="0" showRowStripes="1" showColumnStripes="0"/>
</table>
</file>

<file path=xl/tables/table105.xml><?xml version="1.0" encoding="utf-8"?>
<table xmlns="http://schemas.openxmlformats.org/spreadsheetml/2006/main" id="105" name="Table115" displayName="Table115" ref="F475:I482" headerRowCount="1" totalsRowShown="0" headerRowDxfId="125" dataDxfId="124" dataCellStyle="Comma">
  <autoFilter ref="F475:I482"/>
  <tableColumns count="4">
    <tableColumn id="1" name="Name" dataDxfId="123" dataCellStyle="Comma"/>
    <tableColumn id="2" name="ASHOKJI" dataDxfId="122" dataCellStyle="Comma"/>
    <tableColumn id="3" name="SUCHITRA" dataDxfId="121" dataCellStyle="Comma"/>
    <tableColumn id="4" name="2026-01-04" dataDxfId="120" dataCellStyle="Comma"/>
  </tableColumns>
  <tableStyleInfo name="TableStyleMedium25" showFirstColumn="0" showLastColumn="0" showRowStripes="1" showColumnStripes="0"/>
</table>
</file>

<file path=xl/tables/table106.xml><?xml version="1.0" encoding="utf-8"?>
<table xmlns="http://schemas.openxmlformats.org/spreadsheetml/2006/main" id="106" name="Table116" displayName="Table116" ref="A484:D491" headerRowCount="1" totalsRowShown="0" headerRowDxfId="119" dataDxfId="118" dataCellStyle="Comma">
  <autoFilter ref="A484:D491"/>
  <tableColumns count="4">
    <tableColumn id="1" name="Name" dataDxfId="117" dataCellStyle="Comma"/>
    <tableColumn id="2" name="VENKAT REDDY" dataDxfId="116" dataCellStyle="Comma"/>
    <tableColumn id="3" name="SURARAM" dataDxfId="115" dataCellStyle="Comma"/>
    <tableColumn id="4" name="2026-01-04" dataDxfId="114" dataCellStyle="Comma"/>
  </tableColumns>
  <tableStyleInfo name="TableStyleMedium25" showFirstColumn="0" showLastColumn="0" showRowStripes="1" showColumnStripes="0"/>
</table>
</file>

<file path=xl/tables/table107.xml><?xml version="1.0" encoding="utf-8"?>
<table xmlns="http://schemas.openxmlformats.org/spreadsheetml/2006/main" id="107" name="Table117" displayName="Table117" ref="F484:I491" headerRowCount="1" totalsRowShown="0" headerRowDxfId="113" dataDxfId="112" dataCellStyle="Comma">
  <autoFilter ref="F484:I491"/>
  <tableColumns count="4">
    <tableColumn id="1" name="Name" dataDxfId="111" dataCellStyle="Comma"/>
    <tableColumn id="2" name="PEMARAMJI" dataDxfId="110" dataCellStyle="Comma"/>
    <tableColumn id="3" name="SURARAM" dataDxfId="109" dataCellStyle="Comma"/>
    <tableColumn id="4" name="2026-01-04" dataDxfId="108" dataCellStyle="Comma"/>
  </tableColumns>
  <tableStyleInfo name="TableStyleMedium25" showFirstColumn="0" showLastColumn="0" showRowStripes="1" showColumnStripes="0"/>
</table>
</file>

<file path=xl/tables/table108.xml><?xml version="1.0" encoding="utf-8"?>
<table xmlns="http://schemas.openxmlformats.org/spreadsheetml/2006/main" id="108" name="Table118" displayName="Table118" ref="A493:D500" headerRowCount="1" totalsRowShown="0" headerRowDxfId="107" dataDxfId="106" dataCellStyle="Comma">
  <autoFilter ref="A493:D500"/>
  <tableColumns count="4">
    <tableColumn id="1" name="Name" dataDxfId="105" dataCellStyle="Comma"/>
    <tableColumn id="2" name="CHANDARAMJI" dataDxfId="104" dataCellStyle="Comma"/>
    <tableColumn id="3" name="SURARAM" dataDxfId="103" dataCellStyle="Comma"/>
    <tableColumn id="4" name="2026-01-04" dataDxfId="102" dataCellStyle="Comma"/>
  </tableColumns>
  <tableStyleInfo name="TableStyleMedium25" showFirstColumn="0" showLastColumn="0" showRowStripes="1" showColumnStripes="0"/>
</table>
</file>

<file path=xl/tables/table109.xml><?xml version="1.0" encoding="utf-8"?>
<table xmlns="http://schemas.openxmlformats.org/spreadsheetml/2006/main" id="109" name="Table119" displayName="Table119" ref="F493:I500" headerRowCount="1" totalsRowShown="0" headerRowDxfId="101" dataDxfId="100" dataCellStyle="Comma">
  <autoFilter ref="F493:I500"/>
  <tableColumns count="4">
    <tableColumn id="1" name="Name" dataDxfId="99" dataCellStyle="Comma"/>
    <tableColumn id="2" name="VINJARAMJI" dataDxfId="98" dataCellStyle="Comma"/>
    <tableColumn id="3" name="R R NAGAR" dataDxfId="97" dataCellStyle="Comma"/>
    <tableColumn id="4" name="2026-01-04" dataDxfId="96" dataCellStyle="Comma"/>
  </tableColumns>
  <tableStyleInfo name="TableStyleMedium25" showFirstColumn="0" showLastColumn="0" showRowStripes="1" showColumnStripes="0"/>
</table>
</file>

<file path=xl/tables/table110.xml><?xml version="1.0" encoding="utf-8"?>
<table xmlns="http://schemas.openxmlformats.org/spreadsheetml/2006/main" id="110" name="Table120" displayName="Table120" ref="A502:D509" headerRowCount="1" totalsRowShown="0" headerRowDxfId="95" dataDxfId="94" dataCellStyle="Comma">
  <autoFilter ref="A502:D509"/>
  <tableColumns count="4">
    <tableColumn id="1" name="Name" dataDxfId="93" dataCellStyle="Comma"/>
    <tableColumn id="2" name="CHAMPALALJI" dataDxfId="92" dataCellStyle="Comma"/>
    <tableColumn id="3" name="RNGRD" dataDxfId="91" dataCellStyle="Comma"/>
    <tableColumn id="4" name="2026-01-04" dataDxfId="90" dataCellStyle="Comma"/>
  </tableColumns>
  <tableStyleInfo name="TableStyleMedium25" showFirstColumn="0" showLastColumn="0" showRowStripes="1" showColumnStripes="0"/>
</table>
</file>

<file path=xl/tables/table111.xml><?xml version="1.0" encoding="utf-8"?>
<table xmlns="http://schemas.openxmlformats.org/spreadsheetml/2006/main" id="111" name="Table121" displayName="Table121" ref="F502:I509" headerRowCount="1" totalsRowShown="0" headerRowDxfId="89" dataDxfId="88" dataCellStyle="Comma">
  <autoFilter ref="F502:I509"/>
  <tableColumns count="4">
    <tableColumn id="1" name="NAME" dataDxfId="87" dataCellStyle="Comma"/>
    <tableColumn id="2" name="VENKTESHVAR" dataDxfId="86" dataCellStyle="Comma"/>
    <tableColumn id="3" name="AB CO" dataDxfId="85" dataCellStyle="Comma"/>
    <tableColumn id="4" name="2026-01-04" dataDxfId="84" dataCellStyle="Comma"/>
  </tableColumns>
  <tableStyleInfo name="TableStyleMedium25" showFirstColumn="0" showLastColumn="0" showRowStripes="1" showColumnStripes="0"/>
</table>
</file>

<file path=xl/tables/table112.xml><?xml version="1.0" encoding="utf-8"?>
<table xmlns="http://schemas.openxmlformats.org/spreadsheetml/2006/main" id="112" name="Table122" displayName="Table122" ref="A511:D518" headerRowCount="1" totalsRowShown="0" headerRowDxfId="83" dataDxfId="82" dataCellStyle="Comma">
  <autoFilter ref="A511:D518"/>
  <tableColumns count="4">
    <tableColumn id="1" name="Name" dataDxfId="81" dataCellStyle="Comma"/>
    <tableColumn id="2" name="KEWALJI" dataDxfId="80" dataCellStyle="Comma"/>
    <tableColumn id="3" name="KAMMAN" dataDxfId="79" dataCellStyle="Comma"/>
    <tableColumn id="4" name="2026-01-04" dataDxfId="78" dataCellStyle="Comma"/>
  </tableColumns>
  <tableStyleInfo name="TableStyleMedium25" showFirstColumn="0" showLastColumn="0" showRowStripes="1" showColumnStripes="0"/>
</table>
</file>

<file path=xl/tables/table113.xml><?xml version="1.0" encoding="utf-8"?>
<table xmlns="http://schemas.openxmlformats.org/spreadsheetml/2006/main" id="113" name="Table123" displayName="Table123" ref="F511:I518" headerRowCount="1" totalsRowShown="0" headerRowDxfId="77" dataDxfId="76" dataCellStyle="Comma">
  <autoFilter ref="F511:I518"/>
  <tableColumns count="4">
    <tableColumn id="1" name="NAME" dataDxfId="75" dataCellStyle="Comma"/>
    <tableColumn id="2" name="PRAKASHJI" dataDxfId="74" dataCellStyle="Comma"/>
    <tableColumn id="3" name="AMEENPUR" dataDxfId="73" dataCellStyle="Comma"/>
    <tableColumn id="4" name="2026-01-04" dataDxfId="72" dataCellStyle="Comma"/>
  </tableColumns>
  <tableStyleInfo name="TableStyleMedium25" showFirstColumn="0" showLastColumn="0" showRowStripes="1" showColumnStripes="0"/>
</table>
</file>

<file path=xl/tables/table114.xml><?xml version="1.0" encoding="utf-8"?>
<table xmlns="http://schemas.openxmlformats.org/spreadsheetml/2006/main" id="114" name="Table124" displayName="Table124" ref="A520:D527" headerRowCount="1" totalsRowShown="0" headerRowDxfId="71" dataDxfId="70" dataCellStyle="Comma">
  <autoFilter ref="A520:D527"/>
  <tableColumns count="4">
    <tableColumn id="1" name="NAME" dataDxfId="69" dataCellStyle="Comma"/>
    <tableColumn id="2" name="NIRMALJI" dataDxfId="68" dataCellStyle="Comma"/>
    <tableColumn id="3" name="KKPALLY" dataDxfId="67" dataCellStyle="Comma"/>
    <tableColumn id="4" name="2026-01-04" dataDxfId="66" dataCellStyle="Comma"/>
  </tableColumns>
  <tableStyleInfo name="TableStyleMedium25" showFirstColumn="0" showLastColumn="0" showRowStripes="1" showColumnStripes="0"/>
</table>
</file>

<file path=xl/tables/table115.xml><?xml version="1.0" encoding="utf-8"?>
<table xmlns="http://schemas.openxmlformats.org/spreadsheetml/2006/main" id="115" name="Table125" displayName="Table125" ref="F520:I527" headerRowCount="1" totalsRowShown="0" headerRowDxfId="65" dataDxfId="64" dataCellStyle="Comma">
  <autoFilter ref="F520:I527"/>
  <tableColumns count="4">
    <tableColumn id="1" name="NAME" dataDxfId="63" dataCellStyle="Comma"/>
    <tableColumn id="2" name="THANARAMJI" dataDxfId="62" dataCellStyle="Comma"/>
    <tableColumn id="3" name="SRIKAKULAM B" dataDxfId="61" dataCellStyle="Comma"/>
    <tableColumn id="4" name="2026-01-04" dataDxfId="60" dataCellStyle="Comma"/>
  </tableColumns>
  <tableStyleInfo name="TableStyleMedium25" showFirstColumn="0" showLastColumn="0" showRowStripes="1" showColumnStripes="0"/>
</table>
</file>

<file path=xl/tables/table116.xml><?xml version="1.0" encoding="utf-8"?>
<table xmlns="http://schemas.openxmlformats.org/spreadsheetml/2006/main" id="116" name="Table126" displayName="Table126" ref="A529:D536" headerRowCount="1" totalsRowShown="0" headerRowDxfId="59" dataDxfId="58" dataCellStyle="Comma">
  <autoFilter ref="A529:D536"/>
  <tableColumns count="4">
    <tableColumn id="1" name="NAME" dataDxfId="57" dataCellStyle="Comma"/>
    <tableColumn id="2" name="NARAYANJI" dataDxfId="56" dataCellStyle="Comma"/>
    <tableColumn id="3" name="RR ROAD" dataDxfId="55" dataCellStyle="Comma"/>
    <tableColumn id="4" name="2026-01-04" dataDxfId="54" dataCellStyle="Comma"/>
  </tableColumns>
  <tableStyleInfo name="TableStyleMedium25" showFirstColumn="0" showLastColumn="0" showRowStripes="1" showColumnStripes="0"/>
</table>
</file>

<file path=xl/tables/table117.xml><?xml version="1.0" encoding="utf-8"?>
<table xmlns="http://schemas.openxmlformats.org/spreadsheetml/2006/main" id="117" name="Table127" displayName="Table127" ref="F529:I536" headerRowCount="1" totalsRowShown="0" headerRowDxfId="53" dataDxfId="52" dataCellStyle="Comma">
  <autoFilter ref="F529:I536"/>
  <tableColumns count="4">
    <tableColumn id="1" name="NAME" dataDxfId="51" dataCellStyle="Comma"/>
    <tableColumn id="2" name="PUNJI" dataDxfId="50" dataCellStyle="Comma"/>
    <tableColumn id="3" name="R ROAD" dataDxfId="49" dataCellStyle="Comma"/>
    <tableColumn id="4" name="2026-01-04" dataDxfId="48" dataCellStyle="Comma"/>
  </tableColumns>
  <tableStyleInfo name="TableStyleMedium25" showFirstColumn="0" showLastColumn="0" showRowStripes="1" showColumnStripes="0"/>
</table>
</file>

<file path=xl/tables/table118.xml><?xml version="1.0" encoding="utf-8"?>
<table xmlns="http://schemas.openxmlformats.org/spreadsheetml/2006/main" id="118" name="Table128" displayName="Table128" ref="A538:D545" headerRowCount="1" totalsRowShown="0" headerRowDxfId="47" dataDxfId="46" dataCellStyle="Comma">
  <autoFilter ref="A538:D545"/>
  <tableColumns count="4">
    <tableColumn id="1" name="NAME" dataDxfId="45" dataCellStyle="Comma"/>
    <tableColumn id="2" name="GOTAMJI " dataDxfId="44" dataCellStyle="Comma"/>
    <tableColumn id="3" name="RR ROAD" dataDxfId="43" dataCellStyle="Comma"/>
    <tableColumn id="4" name="2026-01-04" dataDxfId="42" dataCellStyle="Comma"/>
  </tableColumns>
  <tableStyleInfo name="TableStyleMedium25" showFirstColumn="0" showLastColumn="0" showRowStripes="1" showColumnStripes="0"/>
</table>
</file>

<file path=xl/tables/table119.xml><?xml version="1.0" encoding="utf-8"?>
<table xmlns="http://schemas.openxmlformats.org/spreadsheetml/2006/main" id="119" name="Table129" displayName="Table129" ref="F538:I545" headerRowCount="1" totalsRowShown="0" headerRowDxfId="41" dataDxfId="40" dataCellStyle="Comma">
  <autoFilter ref="F538:I545"/>
  <tableColumns count="4">
    <tableColumn id="1" name="NAME" dataDxfId="39" dataCellStyle="Comma"/>
    <tableColumn id="2" name="SOHANJI" dataDxfId="38" dataCellStyle="Comma"/>
    <tableColumn id="3" name="RR ROAD" dataDxfId="37" dataCellStyle="Comma"/>
    <tableColumn id="4" name="2026-01-04" dataDxfId="36" dataCellStyle="Comma"/>
  </tableColumns>
  <tableStyleInfo name="TableStyleMedium25" showFirstColumn="0" showLastColumn="0" showRowStripes="1" showColumnStripes="0"/>
</table>
</file>

<file path=xl/tables/table120.xml><?xml version="1.0" encoding="utf-8"?>
<table xmlns="http://schemas.openxmlformats.org/spreadsheetml/2006/main" id="120" name="Table130" displayName="Table130" ref="A547:D554" headerRowCount="1" totalsRowShown="0" headerRowDxfId="35" dataDxfId="34" dataCellStyle="Comma">
  <autoFilter ref="A547:D554"/>
  <tableColumns count="4">
    <tableColumn id="1" name="NAME" dataDxfId="33" dataCellStyle="Comma"/>
    <tableColumn id="2" name="TEJAJAMJI" dataDxfId="32" dataCellStyle="Comma"/>
    <tableColumn id="3" name="YELMBNDA" dataDxfId="31" dataCellStyle="Comma"/>
    <tableColumn id="4" name="2026-01-04" dataDxfId="30" dataCellStyle="Comma"/>
  </tableColumns>
  <tableStyleInfo name="TableStyleMedium25" showFirstColumn="0" showLastColumn="0" showRowStripes="1" showColumnStripes="0"/>
</table>
</file>

<file path=xl/tables/table121.xml><?xml version="1.0" encoding="utf-8"?>
<table xmlns="http://schemas.openxmlformats.org/spreadsheetml/2006/main" id="121" name="Table131" displayName="Table131" ref="F547:I554" headerRowCount="1" totalsRowShown="0" headerRowDxfId="29" dataDxfId="28" dataCellStyle="Comma">
  <autoFilter ref="F547:I554"/>
  <tableColumns count="4">
    <tableColumn id="1" name="NAME" dataDxfId="27" dataCellStyle="Comma"/>
    <tableColumn id="2" name="MOHANJI" dataDxfId="26" dataCellStyle="Comma"/>
    <tableColumn id="3" name="CHINTAL" dataDxfId="25" dataCellStyle="Comma"/>
    <tableColumn id="4" name="2026-01-04" dataDxfId="24" dataCellStyle="Comma"/>
  </tableColumns>
  <tableStyleInfo name="TableStyleMedium25" showFirstColumn="0" showLastColumn="0" showRowStripes="1" showColumnStripes="0"/>
</table>
</file>

<file path=xl/tables/table122.xml><?xml version="1.0" encoding="utf-8"?>
<table xmlns="http://schemas.openxmlformats.org/spreadsheetml/2006/main" id="122" name="Table132" displayName="Table132" ref="A556:D563" headerRowCount="1" totalsRowShown="0" headerRowDxfId="23" dataDxfId="22" dataCellStyle="Comma">
  <autoFilter ref="A556:D563"/>
  <tableColumns count="4">
    <tableColumn id="1" name="NAME" dataDxfId="21" dataCellStyle="Comma"/>
    <tableColumn id="2" name="BABULALJI" dataDxfId="20" dataCellStyle="Comma"/>
    <tableColumn id="3" name="RAMARAM" dataDxfId="19" dataCellStyle="Comma"/>
    <tableColumn id="4" name="2026-01-04" dataDxfId="18" dataCellStyle="Comma"/>
  </tableColumns>
  <tableStyleInfo name="TableStyleMedium25" showFirstColumn="0" showLastColumn="0" showRowStripes="1" showColumnStripes="0"/>
</table>
</file>

<file path=xl/tables/table123.xml><?xml version="1.0" encoding="utf-8"?>
<table xmlns="http://schemas.openxmlformats.org/spreadsheetml/2006/main" id="123" name="Table133" displayName="Table133" ref="F556:I563" headerRowCount="1" totalsRowShown="0" headerRowDxfId="17" dataDxfId="16" dataCellStyle="Comma">
  <autoFilter ref="F556:I563"/>
  <tableColumns count="4">
    <tableColumn id="1" name="NAME" dataDxfId="15" dataCellStyle="Comma"/>
    <tableColumn id="2" name="MOHANJI" dataDxfId="14" dataCellStyle="Comma"/>
    <tableColumn id="3" name="AMINPUR" dataDxfId="13" dataCellStyle="Comma"/>
    <tableColumn id="4" name="2026-01-04" dataDxfId="12" dataCellStyle="Comma"/>
  </tableColumns>
  <tableStyleInfo name="TableStyleMedium25" showFirstColumn="0" showLastColumn="0" showRowStripes="1" showColumnStripes="0"/>
</table>
</file>

<file path=xl/tables/table124.xml><?xml version="1.0" encoding="utf-8"?>
<table xmlns="http://schemas.openxmlformats.org/spreadsheetml/2006/main" id="124" name="Table134" displayName="Table134" ref="A565:D572" headerRowCount="1" totalsRowShown="0" headerRowDxfId="11" dataDxfId="10" dataCellStyle="Comma">
  <autoFilter ref="A565:D572"/>
  <tableColumns count="4">
    <tableColumn id="1" name="NAME" dataDxfId="9" dataCellStyle="Comma"/>
    <tableColumn id="2" name="PUNAMJI" dataDxfId="8" dataCellStyle="Comma"/>
    <tableColumn id="3" name="BADURPLY" dataDxfId="7" dataCellStyle="Comma"/>
    <tableColumn id="4" name="2026-01-04" dataDxfId="6" dataCellStyle="Comma"/>
  </tableColumns>
  <tableStyleInfo name="TableStyleMedium25" showFirstColumn="0" showLastColumn="0" showRowStripes="1" showColumnStripes="0"/>
</table>
</file>

<file path=xl/tables/table125.xml><?xml version="1.0" encoding="utf-8"?>
<table xmlns="http://schemas.openxmlformats.org/spreadsheetml/2006/main" id="125" name="Table135" displayName="Table135" ref="F565:I572" headerRowCount="1" totalsRowShown="0" headerRowDxfId="5" dataDxfId="4" dataCellStyle="Comma">
  <autoFilter ref="F565:I572"/>
  <tableColumns count="4">
    <tableColumn id="1" name="NAME" dataDxfId="3" dataCellStyle="Comma"/>
    <tableColumn id="2" name="NARAYANJI" dataDxfId="2" dataCellStyle="Comma"/>
    <tableColumn id="3" name="KOTLAPUR" dataDxfId="1" dataCellStyle="Comma"/>
    <tableColumn id="4" name="2026-01-04" dataDxfId="0" dataCellStyle="Comma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Relationship Type="http://schemas.openxmlformats.org/officeDocument/2006/relationships/table" Target="/xl/tables/table11.xml" Id="rId11" /><Relationship Type="http://schemas.openxmlformats.org/officeDocument/2006/relationships/table" Target="/xl/tables/table12.xml" Id="rId12" /><Relationship Type="http://schemas.openxmlformats.org/officeDocument/2006/relationships/table" Target="/xl/tables/table13.xml" Id="rId13" /><Relationship Type="http://schemas.openxmlformats.org/officeDocument/2006/relationships/table" Target="/xl/tables/table14.xml" Id="rId14" /><Relationship Type="http://schemas.openxmlformats.org/officeDocument/2006/relationships/table" Target="/xl/tables/table15.xml" Id="rId15" /><Relationship Type="http://schemas.openxmlformats.org/officeDocument/2006/relationships/table" Target="/xl/tables/table16.xml" Id="rId16" /><Relationship Type="http://schemas.openxmlformats.org/officeDocument/2006/relationships/table" Target="/xl/tables/table17.xml" Id="rId17" /><Relationship Type="http://schemas.openxmlformats.org/officeDocument/2006/relationships/table" Target="/xl/tables/table18.xml" Id="rId18" /><Relationship Type="http://schemas.openxmlformats.org/officeDocument/2006/relationships/table" Target="/xl/tables/table19.xml" Id="rId19" /><Relationship Type="http://schemas.openxmlformats.org/officeDocument/2006/relationships/table" Target="/xl/tables/table20.xml" Id="rId20" /><Relationship Type="http://schemas.openxmlformats.org/officeDocument/2006/relationships/table" Target="/xl/tables/table21.xml" Id="rId21" /><Relationship Type="http://schemas.openxmlformats.org/officeDocument/2006/relationships/table" Target="/xl/tables/table22.xml" Id="rId22" /><Relationship Type="http://schemas.openxmlformats.org/officeDocument/2006/relationships/table" Target="/xl/tables/table23.xml" Id="rId23" /><Relationship Type="http://schemas.openxmlformats.org/officeDocument/2006/relationships/table" Target="/xl/tables/table24.xml" Id="rId24" /><Relationship Type="http://schemas.openxmlformats.org/officeDocument/2006/relationships/table" Target="/xl/tables/table25.xml" Id="rId25" /><Relationship Type="http://schemas.openxmlformats.org/officeDocument/2006/relationships/table" Target="/xl/tables/table26.xml" Id="rId26" /><Relationship Type="http://schemas.openxmlformats.org/officeDocument/2006/relationships/table" Target="/xl/tables/table27.xml" Id="rId27" /><Relationship Type="http://schemas.openxmlformats.org/officeDocument/2006/relationships/table" Target="/xl/tables/table28.xml" Id="rId28" /><Relationship Type="http://schemas.openxmlformats.org/officeDocument/2006/relationships/table" Target="/xl/tables/table29.xml" Id="rId29" /><Relationship Type="http://schemas.openxmlformats.org/officeDocument/2006/relationships/table" Target="/xl/tables/table30.xml" Id="rId30" /><Relationship Type="http://schemas.openxmlformats.org/officeDocument/2006/relationships/table" Target="/xl/tables/table31.xml" Id="rId31" /><Relationship Type="http://schemas.openxmlformats.org/officeDocument/2006/relationships/table" Target="/xl/tables/table32.xml" Id="rId32" /><Relationship Type="http://schemas.openxmlformats.org/officeDocument/2006/relationships/table" Target="/xl/tables/table33.xml" Id="rId33" /><Relationship Type="http://schemas.openxmlformats.org/officeDocument/2006/relationships/table" Target="/xl/tables/table34.xml" Id="rId34" /><Relationship Type="http://schemas.openxmlformats.org/officeDocument/2006/relationships/table" Target="/xl/tables/table35.xml" Id="rId35" /><Relationship Type="http://schemas.openxmlformats.org/officeDocument/2006/relationships/table" Target="/xl/tables/table36.xml" Id="rId36" /><Relationship Type="http://schemas.openxmlformats.org/officeDocument/2006/relationships/table" Target="/xl/tables/table37.xml" Id="rId37" /><Relationship Type="http://schemas.openxmlformats.org/officeDocument/2006/relationships/table" Target="/xl/tables/table38.xml" Id="rId38" /><Relationship Type="http://schemas.openxmlformats.org/officeDocument/2006/relationships/table" Target="/xl/tables/table39.xml" Id="rId39" /><Relationship Type="http://schemas.openxmlformats.org/officeDocument/2006/relationships/table" Target="/xl/tables/table40.xml" Id="rId40" /><Relationship Type="http://schemas.openxmlformats.org/officeDocument/2006/relationships/table" Target="/xl/tables/table41.xml" Id="rId41" /><Relationship Type="http://schemas.openxmlformats.org/officeDocument/2006/relationships/table" Target="/xl/tables/table42.xml" Id="rId42" /><Relationship Type="http://schemas.openxmlformats.org/officeDocument/2006/relationships/table" Target="/xl/tables/table43.xml" Id="rId43" /><Relationship Type="http://schemas.openxmlformats.org/officeDocument/2006/relationships/table" Target="/xl/tables/table44.xml" Id="rId44" /><Relationship Type="http://schemas.openxmlformats.org/officeDocument/2006/relationships/table" Target="/xl/tables/table45.xml" Id="rId45" /><Relationship Type="http://schemas.openxmlformats.org/officeDocument/2006/relationships/table" Target="/xl/tables/table46.xml" Id="rId46" /><Relationship Type="http://schemas.openxmlformats.org/officeDocument/2006/relationships/table" Target="/xl/tables/table47.xml" Id="rId47" /><Relationship Type="http://schemas.openxmlformats.org/officeDocument/2006/relationships/table" Target="/xl/tables/table48.xml" Id="rId48" /><Relationship Type="http://schemas.openxmlformats.org/officeDocument/2006/relationships/table" Target="/xl/tables/table49.xml" Id="rId49" /><Relationship Type="http://schemas.openxmlformats.org/officeDocument/2006/relationships/table" Target="/xl/tables/table50.xml" Id="rId50" /><Relationship Type="http://schemas.openxmlformats.org/officeDocument/2006/relationships/table" Target="/xl/tables/table51.xml" Id="rId51" /><Relationship Type="http://schemas.openxmlformats.org/officeDocument/2006/relationships/table" Target="/xl/tables/table52.xml" Id="rId52" /><Relationship Type="http://schemas.openxmlformats.org/officeDocument/2006/relationships/table" Target="/xl/tables/table53.xml" Id="rId53" /><Relationship Type="http://schemas.openxmlformats.org/officeDocument/2006/relationships/table" Target="/xl/tables/table54.xml" Id="rId54" /><Relationship Type="http://schemas.openxmlformats.org/officeDocument/2006/relationships/table" Target="/xl/tables/table55.xml" Id="rId55" /><Relationship Type="http://schemas.openxmlformats.org/officeDocument/2006/relationships/table" Target="/xl/tables/table56.xml" Id="rId56" /><Relationship Type="http://schemas.openxmlformats.org/officeDocument/2006/relationships/table" Target="/xl/tables/table57.xml" Id="rId57" /><Relationship Type="http://schemas.openxmlformats.org/officeDocument/2006/relationships/table" Target="/xl/tables/table58.xml" Id="rId58" /><Relationship Type="http://schemas.openxmlformats.org/officeDocument/2006/relationships/table" Target="/xl/tables/table59.xml" Id="rId59" /><Relationship Type="http://schemas.openxmlformats.org/officeDocument/2006/relationships/table" Target="/xl/tables/table60.xml" Id="rId60" /><Relationship Type="http://schemas.openxmlformats.org/officeDocument/2006/relationships/table" Target="/xl/tables/table61.xml" Id="rId61" /><Relationship Type="http://schemas.openxmlformats.org/officeDocument/2006/relationships/table" Target="/xl/tables/table62.xml" Id="rId62" /><Relationship Type="http://schemas.openxmlformats.org/officeDocument/2006/relationships/table" Target="/xl/tables/table63.xml" Id="rId63" /><Relationship Type="http://schemas.openxmlformats.org/officeDocument/2006/relationships/table" Target="/xl/tables/table64.xml" Id="rId64" /><Relationship Type="http://schemas.openxmlformats.org/officeDocument/2006/relationships/table" Target="/xl/tables/table65.xml" Id="rId65" /><Relationship Type="http://schemas.openxmlformats.org/officeDocument/2006/relationships/table" Target="/xl/tables/table66.xml" Id="rId66" /><Relationship Type="http://schemas.openxmlformats.org/officeDocument/2006/relationships/table" Target="/xl/tables/table67.xml" Id="rId67" /><Relationship Type="http://schemas.openxmlformats.org/officeDocument/2006/relationships/table" Target="/xl/tables/table68.xml" Id="rId68" /><Relationship Type="http://schemas.openxmlformats.org/officeDocument/2006/relationships/table" Target="/xl/tables/table69.xml" Id="rId69" /><Relationship Type="http://schemas.openxmlformats.org/officeDocument/2006/relationships/table" Target="/xl/tables/table70.xml" Id="rId70" /><Relationship Type="http://schemas.openxmlformats.org/officeDocument/2006/relationships/table" Target="/xl/tables/table71.xml" Id="rId71" /><Relationship Type="http://schemas.openxmlformats.org/officeDocument/2006/relationships/table" Target="/xl/tables/table72.xml" Id="rId72" /><Relationship Type="http://schemas.openxmlformats.org/officeDocument/2006/relationships/table" Target="/xl/tables/table73.xml" Id="rId73" /><Relationship Type="http://schemas.openxmlformats.org/officeDocument/2006/relationships/table" Target="/xl/tables/table74.xml" Id="rId74" /><Relationship Type="http://schemas.openxmlformats.org/officeDocument/2006/relationships/table" Target="/xl/tables/table75.xml" Id="rId75" /><Relationship Type="http://schemas.openxmlformats.org/officeDocument/2006/relationships/table" Target="/xl/tables/table76.xml" Id="rId76" /><Relationship Type="http://schemas.openxmlformats.org/officeDocument/2006/relationships/table" Target="/xl/tables/table77.xml" Id="rId77" /><Relationship Type="http://schemas.openxmlformats.org/officeDocument/2006/relationships/table" Target="/xl/tables/table78.xml" Id="rId78" /><Relationship Type="http://schemas.openxmlformats.org/officeDocument/2006/relationships/table" Target="/xl/tables/table79.xml" Id="rId79" /><Relationship Type="http://schemas.openxmlformats.org/officeDocument/2006/relationships/table" Target="/xl/tables/table80.xml" Id="rId80" /><Relationship Type="http://schemas.openxmlformats.org/officeDocument/2006/relationships/table" Target="/xl/tables/table81.xml" Id="rId81" /><Relationship Type="http://schemas.openxmlformats.org/officeDocument/2006/relationships/table" Target="/xl/tables/table82.xml" Id="rId82" /><Relationship Type="http://schemas.openxmlformats.org/officeDocument/2006/relationships/table" Target="/xl/tables/table83.xml" Id="rId83" /><Relationship Type="http://schemas.openxmlformats.org/officeDocument/2006/relationships/table" Target="/xl/tables/table84.xml" Id="rId84" /><Relationship Type="http://schemas.openxmlformats.org/officeDocument/2006/relationships/table" Target="/xl/tables/table85.xml" Id="rId85" /><Relationship Type="http://schemas.openxmlformats.org/officeDocument/2006/relationships/table" Target="/xl/tables/table86.xml" Id="rId86" /><Relationship Type="http://schemas.openxmlformats.org/officeDocument/2006/relationships/table" Target="/xl/tables/table87.xml" Id="rId87" /><Relationship Type="http://schemas.openxmlformats.org/officeDocument/2006/relationships/table" Target="/xl/tables/table88.xml" Id="rId88" /><Relationship Type="http://schemas.openxmlformats.org/officeDocument/2006/relationships/table" Target="/xl/tables/table89.xml" Id="rId89" /><Relationship Type="http://schemas.openxmlformats.org/officeDocument/2006/relationships/table" Target="/xl/tables/table90.xml" Id="rId90" /><Relationship Type="http://schemas.openxmlformats.org/officeDocument/2006/relationships/table" Target="/xl/tables/table91.xml" Id="rId91" /><Relationship Type="http://schemas.openxmlformats.org/officeDocument/2006/relationships/table" Target="/xl/tables/table92.xml" Id="rId92" /><Relationship Type="http://schemas.openxmlformats.org/officeDocument/2006/relationships/table" Target="/xl/tables/table93.xml" Id="rId93" /><Relationship Type="http://schemas.openxmlformats.org/officeDocument/2006/relationships/table" Target="/xl/tables/table94.xml" Id="rId94" /><Relationship Type="http://schemas.openxmlformats.org/officeDocument/2006/relationships/table" Target="/xl/tables/table95.xml" Id="rId95" /><Relationship Type="http://schemas.openxmlformats.org/officeDocument/2006/relationships/table" Target="/xl/tables/table96.xml" Id="rId96" /><Relationship Type="http://schemas.openxmlformats.org/officeDocument/2006/relationships/table" Target="/xl/tables/table97.xml" Id="rId97" /><Relationship Type="http://schemas.openxmlformats.org/officeDocument/2006/relationships/table" Target="/xl/tables/table98.xml" Id="rId98" /><Relationship Type="http://schemas.openxmlformats.org/officeDocument/2006/relationships/table" Target="/xl/tables/table99.xml" Id="rId99" /><Relationship Type="http://schemas.openxmlformats.org/officeDocument/2006/relationships/table" Target="/xl/tables/table100.xml" Id="rId100" /><Relationship Type="http://schemas.openxmlformats.org/officeDocument/2006/relationships/table" Target="/xl/tables/table101.xml" Id="rId101" /><Relationship Type="http://schemas.openxmlformats.org/officeDocument/2006/relationships/table" Target="/xl/tables/table102.xml" Id="rId102" /><Relationship Type="http://schemas.openxmlformats.org/officeDocument/2006/relationships/table" Target="/xl/tables/table103.xml" Id="rId103" /><Relationship Type="http://schemas.openxmlformats.org/officeDocument/2006/relationships/table" Target="/xl/tables/table104.xml" Id="rId104" /><Relationship Type="http://schemas.openxmlformats.org/officeDocument/2006/relationships/table" Target="/xl/tables/table105.xml" Id="rId105" /><Relationship Type="http://schemas.openxmlformats.org/officeDocument/2006/relationships/table" Target="/xl/tables/table106.xml" Id="rId106" /><Relationship Type="http://schemas.openxmlformats.org/officeDocument/2006/relationships/table" Target="/xl/tables/table107.xml" Id="rId107" /><Relationship Type="http://schemas.openxmlformats.org/officeDocument/2006/relationships/table" Target="/xl/tables/table108.xml" Id="rId108" /><Relationship Type="http://schemas.openxmlformats.org/officeDocument/2006/relationships/table" Target="/xl/tables/table109.xml" Id="rId109" /><Relationship Type="http://schemas.openxmlformats.org/officeDocument/2006/relationships/table" Target="/xl/tables/table110.xml" Id="rId110" /><Relationship Type="http://schemas.openxmlformats.org/officeDocument/2006/relationships/table" Target="/xl/tables/table111.xml" Id="rId111" /><Relationship Type="http://schemas.openxmlformats.org/officeDocument/2006/relationships/table" Target="/xl/tables/table112.xml" Id="rId112" /><Relationship Type="http://schemas.openxmlformats.org/officeDocument/2006/relationships/table" Target="/xl/tables/table113.xml" Id="rId113" /><Relationship Type="http://schemas.openxmlformats.org/officeDocument/2006/relationships/table" Target="/xl/tables/table114.xml" Id="rId114" /><Relationship Type="http://schemas.openxmlformats.org/officeDocument/2006/relationships/table" Target="/xl/tables/table115.xml" Id="rId115" /><Relationship Type="http://schemas.openxmlformats.org/officeDocument/2006/relationships/table" Target="/xl/tables/table116.xml" Id="rId116" /><Relationship Type="http://schemas.openxmlformats.org/officeDocument/2006/relationships/table" Target="/xl/tables/table117.xml" Id="rId117" /><Relationship Type="http://schemas.openxmlformats.org/officeDocument/2006/relationships/table" Target="/xl/tables/table118.xml" Id="rId118" /><Relationship Type="http://schemas.openxmlformats.org/officeDocument/2006/relationships/table" Target="/xl/tables/table119.xml" Id="rId119" /><Relationship Type="http://schemas.openxmlformats.org/officeDocument/2006/relationships/table" Target="/xl/tables/table120.xml" Id="rId120" /><Relationship Type="http://schemas.openxmlformats.org/officeDocument/2006/relationships/table" Target="/xl/tables/table121.xml" Id="rId121" /><Relationship Type="http://schemas.openxmlformats.org/officeDocument/2006/relationships/table" Target="/xl/tables/table122.xml" Id="rId122" /><Relationship Type="http://schemas.openxmlformats.org/officeDocument/2006/relationships/table" Target="/xl/tables/table123.xml" Id="rId123" /><Relationship Type="http://schemas.openxmlformats.org/officeDocument/2006/relationships/table" Target="/xl/tables/table124.xml" Id="rId124" /><Relationship Type="http://schemas.openxmlformats.org/officeDocument/2006/relationships/table" Target="/xl/tables/table125.xml" Id="rId125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581"/>
  <sheetViews>
    <sheetView workbookViewId="0">
      <selection activeCell="A1" sqref="A1"/>
    </sheetView>
  </sheetViews>
  <sheetFormatPr baseColWidth="8" defaultRowHeight="15"/>
  <cols>
    <col width="10" customWidth="1" min="1" max="1"/>
    <col width="21.42578125" customWidth="1" min="2" max="2"/>
    <col width="15.28515625" customWidth="1" min="3" max="3"/>
    <col width="17.7109375" customWidth="1" min="4" max="4"/>
    <col width="1.85546875" customWidth="1" min="5" max="5"/>
    <col width="10.28515625" customWidth="1" min="6" max="6"/>
    <col width="21.5703125" customWidth="1" min="7" max="7"/>
    <col width="15.7109375" customWidth="1" min="8" max="8"/>
    <col width="17.7109375" customWidth="1" min="9" max="9"/>
    <col width="1.85546875" customWidth="1" min="10" max="10"/>
    <col width="1.140625" customWidth="1" min="11" max="11"/>
    <col width="8.140625" customWidth="1" min="12" max="12"/>
    <col width="14" customWidth="1" min="13" max="13"/>
    <col width="11.5703125" customWidth="1" min="14" max="14"/>
    <col width="11.28515625" customWidth="1" min="15" max="15"/>
    <col width="12.85546875" customWidth="1" min="16" max="16"/>
    <col width="13.28515625" customWidth="1" min="17" max="17"/>
    <col width="11.5703125" customWidth="1" min="18" max="18"/>
    <col width="4.140625" customWidth="1" min="19" max="19"/>
    <col width="11.5703125" customWidth="1" min="20" max="20"/>
    <col width="15.28515625" customWidth="1" min="21" max="21"/>
    <col width="13.42578125" customWidth="1" min="22" max="22"/>
    <col width="5.140625" customWidth="1" min="23" max="23"/>
    <col width="11.7109375" customWidth="1" min="24" max="24"/>
    <col width="15.28515625" customWidth="1" min="25" max="25"/>
    <col width="15.42578125" customWidth="1" min="26" max="26"/>
  </cols>
  <sheetData>
    <row r="1" ht="20.25" customHeight="1">
      <c r="A1" s="19" t="inlineStr">
        <is>
          <t>Name</t>
        </is>
      </c>
      <c r="B1" s="20" t="inlineStr">
        <is>
          <t>SOHANJI</t>
        </is>
      </c>
      <c r="C1" s="20" t="inlineStr">
        <is>
          <t>ALWN.CO</t>
        </is>
      </c>
      <c r="D1" s="20" t="inlineStr">
        <is>
          <t>2026-01-15</t>
        </is>
      </c>
      <c r="E1" s="21" t="n"/>
      <c r="F1" s="15" t="inlineStr">
        <is>
          <t>NAME</t>
        </is>
      </c>
      <c r="G1" s="15" t="inlineStr">
        <is>
          <t>SURESH</t>
        </is>
      </c>
      <c r="H1" s="15" t="inlineStr">
        <is>
          <t>JODHPUR</t>
        </is>
      </c>
      <c r="I1" s="21" t="inlineStr">
        <is>
          <t>2026-01-15</t>
        </is>
      </c>
      <c r="J1" s="22" t="n"/>
      <c r="L1" s="1" t="n"/>
      <c r="M1" s="1" t="n"/>
      <c r="N1" s="22" t="n"/>
      <c r="O1" s="22" t="n"/>
      <c r="P1" s="23" t="n"/>
      <c r="Q1" s="22" t="n"/>
      <c r="R1" s="22" t="n"/>
      <c r="S1" s="1" t="n"/>
      <c r="U1" s="1" t="n"/>
      <c r="V1" s="5" t="n"/>
      <c r="W1" s="1" t="n"/>
      <c r="X1" s="1" t="n"/>
      <c r="Y1" s="1" t="n"/>
      <c r="Z1" s="1" t="n"/>
    </row>
    <row r="2" ht="25.5" customHeight="1">
      <c r="A2" s="20" t="inlineStr">
        <is>
          <t>Month</t>
        </is>
      </c>
      <c r="B2" s="20" t="inlineStr">
        <is>
          <t>Plan</t>
        </is>
      </c>
      <c r="C2" s="20" t="inlineStr">
        <is>
          <t>Commission</t>
        </is>
      </c>
      <c r="D2" s="20" t="inlineStr">
        <is>
          <t>Amount</t>
        </is>
      </c>
      <c r="E2" s="21" t="n"/>
      <c r="F2" s="21" t="inlineStr">
        <is>
          <t>Month</t>
        </is>
      </c>
      <c r="G2" s="21" t="inlineStr">
        <is>
          <t>Plan</t>
        </is>
      </c>
      <c r="H2" s="21" t="inlineStr">
        <is>
          <t>Commission</t>
        </is>
      </c>
      <c r="I2" s="21" t="inlineStr">
        <is>
          <t>Amount</t>
        </is>
      </c>
      <c r="K2" s="1" t="n"/>
      <c r="L2" s="22" t="inlineStr">
        <is>
          <t>Month</t>
        </is>
      </c>
      <c r="M2" s="22" t="inlineStr">
        <is>
          <t>Plan Amt</t>
        </is>
      </c>
      <c r="N2" s="23" t="inlineStr">
        <is>
          <t>Total Commission</t>
        </is>
      </c>
      <c r="O2" s="22" t="n"/>
      <c r="P2" s="24" t="inlineStr">
        <is>
          <t>Commission</t>
        </is>
      </c>
      <c r="Q2" s="22" t="inlineStr">
        <is>
          <t>Month|Plan</t>
        </is>
      </c>
      <c r="R2" s="22" t="inlineStr">
        <is>
          <t>Amount</t>
        </is>
      </c>
      <c r="S2" s="1" t="n"/>
      <c r="T2" s="22" t="inlineStr">
        <is>
          <t>AMOUNT</t>
        </is>
      </c>
      <c r="U2" s="22" t="inlineStr">
        <is>
          <t xml:space="preserve"> NAME</t>
        </is>
      </c>
      <c r="V2" s="22" t="inlineStr">
        <is>
          <t>AREA</t>
        </is>
      </c>
      <c r="W2" s="1" t="n"/>
      <c r="X2" s="22" t="inlineStr">
        <is>
          <t>AMOUNT</t>
        </is>
      </c>
      <c r="Y2" s="22" t="inlineStr">
        <is>
          <t>NAME</t>
        </is>
      </c>
      <c r="Z2" s="22" t="inlineStr">
        <is>
          <t>AREA</t>
        </is>
      </c>
    </row>
    <row r="3" ht="20.25" customHeight="1">
      <c r="A3" s="20" t="n">
        <v>1</v>
      </c>
      <c r="B3" s="20" t="n">
        <v>1000000</v>
      </c>
      <c r="C3" s="20" t="n">
        <v>1000</v>
      </c>
      <c r="D3" s="20" t="n">
        <v>49000</v>
      </c>
      <c r="E3" s="21" t="n"/>
      <c r="F3" s="21" t="n">
        <v>1</v>
      </c>
      <c r="G3" s="21" t="n">
        <v>500000</v>
      </c>
      <c r="H3" s="21" t="n">
        <v>1000</v>
      </c>
      <c r="I3" s="21" t="n">
        <v>24000</v>
      </c>
      <c r="J3" s="22" t="n"/>
      <c r="K3" s="1" t="n"/>
      <c r="L3" s="22" t="n">
        <v>15</v>
      </c>
      <c r="M3" s="22" t="n">
        <v>500000</v>
      </c>
      <c r="N3" s="22" t="n">
        <v>10000</v>
      </c>
      <c r="O3" s="22">
        <f>L3&amp;"|"&amp;M3</f>
        <v/>
      </c>
      <c r="P3" s="22" t="n">
        <v>500</v>
      </c>
      <c r="Q3" s="22">
        <f>L3&amp;"|"&amp;M3</f>
        <v/>
      </c>
      <c r="R3" s="22" t="n">
        <v>24500</v>
      </c>
      <c r="S3" s="1" t="n"/>
      <c r="T3" s="1">
        <f>D8</f>
        <v/>
      </c>
      <c r="U3" s="1">
        <f>B1</f>
        <v/>
      </c>
      <c r="V3" s="1">
        <f>C1</f>
        <v/>
      </c>
      <c r="W3" s="1" t="n"/>
      <c r="X3" s="1">
        <f>I8</f>
        <v/>
      </c>
      <c r="Y3" s="1">
        <f>G1</f>
        <v/>
      </c>
      <c r="Z3" s="1">
        <f>H1</f>
        <v/>
      </c>
    </row>
    <row r="4" ht="20.25" customHeight="1">
      <c r="A4" s="20" t="n">
        <v>10</v>
      </c>
      <c r="B4" s="20" t="n">
        <v>500000</v>
      </c>
      <c r="C4" s="20" t="n">
        <v>1000</v>
      </c>
      <c r="D4" s="20" t="n">
        <v>24000</v>
      </c>
      <c r="E4" s="21" t="n"/>
      <c r="F4" s="21" t="n"/>
      <c r="G4" s="21" t="n"/>
      <c r="H4" s="21" t="n"/>
      <c r="I4" s="21" t="n"/>
      <c r="J4" s="22" t="n"/>
      <c r="K4" s="1" t="n"/>
      <c r="L4" s="22" t="n">
        <v>15</v>
      </c>
      <c r="M4" s="22" t="n">
        <v>250000</v>
      </c>
      <c r="N4" s="22" t="n">
        <v>20000</v>
      </c>
      <c r="O4" s="22">
        <f>L4&amp;"|"&amp;M4</f>
        <v/>
      </c>
      <c r="P4" s="22" t="n">
        <v>1000</v>
      </c>
      <c r="Q4" s="22">
        <f>L4&amp;"|"&amp;M4</f>
        <v/>
      </c>
      <c r="R4" s="22" t="n">
        <v>11500</v>
      </c>
      <c r="S4" s="1" t="n"/>
      <c r="T4" s="1">
        <f>D17</f>
        <v/>
      </c>
      <c r="U4" s="1">
        <f>B10</f>
        <v/>
      </c>
      <c r="V4" s="1">
        <f>C10</f>
        <v/>
      </c>
      <c r="W4" s="1" t="n"/>
      <c r="X4" s="1">
        <f>I17</f>
        <v/>
      </c>
      <c r="Y4" s="1">
        <f>G10</f>
        <v/>
      </c>
      <c r="Z4" s="1">
        <f>H10</f>
        <v/>
      </c>
    </row>
    <row r="5" ht="20.25" customHeight="1">
      <c r="A5" s="20" t="n"/>
      <c r="B5" s="20" t="n"/>
      <c r="C5" s="20" t="n"/>
      <c r="D5" s="20" t="n"/>
      <c r="E5" s="21" t="n"/>
      <c r="F5" s="21" t="n"/>
      <c r="G5" s="21" t="n"/>
      <c r="H5" s="21" t="n"/>
      <c r="I5" s="21" t="n"/>
      <c r="J5" s="22" t="n"/>
      <c r="K5" s="1" t="n"/>
      <c r="L5" s="1" t="n">
        <v>10</v>
      </c>
      <c r="M5" s="1" t="n">
        <v>2000000</v>
      </c>
      <c r="N5" s="1" t="n">
        <v>20000</v>
      </c>
      <c r="O5" s="22">
        <f>L5&amp;"|"&amp;M5</f>
        <v/>
      </c>
      <c r="P5" s="22" t="n">
        <v>1000</v>
      </c>
      <c r="Q5" s="22">
        <f>L5&amp;"|"&amp;M5</f>
        <v/>
      </c>
      <c r="R5" s="22" t="n">
        <v>99000</v>
      </c>
      <c r="S5" s="1" t="n"/>
      <c r="T5" s="1">
        <f>D26</f>
        <v/>
      </c>
      <c r="U5" s="1">
        <f>B19</f>
        <v/>
      </c>
      <c r="V5" s="1">
        <f>C19</f>
        <v/>
      </c>
      <c r="W5" s="1" t="n"/>
      <c r="X5" s="1">
        <f>I26</f>
        <v/>
      </c>
      <c r="Y5" s="1">
        <f>G19</f>
        <v/>
      </c>
      <c r="Z5" s="1">
        <f>H19</f>
        <v/>
      </c>
    </row>
    <row r="6" ht="20.25" customHeight="1">
      <c r="A6" s="20" t="n"/>
      <c r="B6" s="20" t="n"/>
      <c r="C6" s="20" t="n"/>
      <c r="D6" s="20" t="n"/>
      <c r="E6" s="21" t="n"/>
      <c r="F6" s="21" t="n"/>
      <c r="G6" s="21" t="n"/>
      <c r="H6" s="21" t="n"/>
      <c r="I6" s="21" t="n"/>
      <c r="J6" s="22" t="n"/>
      <c r="K6" s="1" t="n"/>
      <c r="L6" s="22" t="n">
        <v>10</v>
      </c>
      <c r="M6" s="22" t="n">
        <v>500000</v>
      </c>
      <c r="N6" s="22" t="n">
        <v>20000</v>
      </c>
      <c r="O6" s="22">
        <f>L6&amp;"|"&amp;M6</f>
        <v/>
      </c>
      <c r="P6" s="22" t="n">
        <v>1000</v>
      </c>
      <c r="Q6" s="22">
        <f>L6&amp;"|"&amp;M6</f>
        <v/>
      </c>
      <c r="R6" s="22" t="n">
        <v>24000</v>
      </c>
      <c r="S6" s="1" t="n"/>
      <c r="T6" s="1">
        <f>D35</f>
        <v/>
      </c>
      <c r="U6" s="25">
        <f>B28</f>
        <v/>
      </c>
      <c r="V6" s="1">
        <f>C28</f>
        <v/>
      </c>
      <c r="W6" s="1" t="n"/>
      <c r="X6" s="1">
        <f>I35</f>
        <v/>
      </c>
      <c r="Y6" s="1">
        <f>G28</f>
        <v/>
      </c>
      <c r="Z6" s="1">
        <f>H28</f>
        <v/>
      </c>
    </row>
    <row r="7" ht="20.25" customHeight="1">
      <c r="A7" s="20" t="n"/>
      <c r="B7" s="20" t="n"/>
      <c r="C7" s="20" t="n"/>
      <c r="D7" s="20" t="n"/>
      <c r="E7" s="21" t="n"/>
      <c r="F7" s="21" t="n"/>
      <c r="G7" s="21" t="n"/>
      <c r="H7" s="21" t="n"/>
      <c r="I7" s="21" t="n"/>
      <c r="J7" s="22" t="n"/>
      <c r="K7" s="1" t="n"/>
      <c r="L7" s="22" t="n">
        <v>1.1</v>
      </c>
      <c r="M7" s="22" t="n">
        <v>500000</v>
      </c>
      <c r="N7" s="22" t="n">
        <v>20000</v>
      </c>
      <c r="O7" s="22">
        <f>L7&amp;"|"&amp;M7</f>
        <v/>
      </c>
      <c r="P7" s="22" t="n">
        <v>1000</v>
      </c>
      <c r="Q7" s="22">
        <f>L7&amp;"|"&amp;M7</f>
        <v/>
      </c>
      <c r="R7" s="22" t="n">
        <v>24000</v>
      </c>
      <c r="S7" s="1" t="n"/>
      <c r="T7" s="1">
        <f>D44</f>
        <v/>
      </c>
      <c r="U7" s="1">
        <f>B37</f>
        <v/>
      </c>
      <c r="V7" s="1">
        <f>C37</f>
        <v/>
      </c>
      <c r="W7" s="1" t="n"/>
      <c r="X7" s="1">
        <f>I44</f>
        <v/>
      </c>
      <c r="Y7" s="1">
        <f>G37</f>
        <v/>
      </c>
      <c r="Z7" s="1">
        <f>H37</f>
        <v/>
      </c>
    </row>
    <row r="8" ht="20.25" customHeight="1">
      <c r="A8" s="20" t="inlineStr">
        <is>
          <t>Total Payable</t>
        </is>
      </c>
      <c r="B8" s="20" t="n"/>
      <c r="C8" s="20" t="n">
        <v>2000</v>
      </c>
      <c r="D8" s="20" t="n">
        <v>73000</v>
      </c>
      <c r="E8" s="21" t="n"/>
      <c r="F8" s="21" t="inlineStr">
        <is>
          <t>Total Payable</t>
        </is>
      </c>
      <c r="H8" t="n">
        <v>1000</v>
      </c>
      <c r="I8" s="21" t="n">
        <v>24000</v>
      </c>
      <c r="J8" s="22" t="n"/>
      <c r="K8" s="1" t="n"/>
      <c r="L8" s="22" t="n">
        <v>1</v>
      </c>
      <c r="M8" s="22" t="n">
        <v>1000000</v>
      </c>
      <c r="N8" s="22" t="n">
        <v>20000</v>
      </c>
      <c r="O8" s="22">
        <f>L8&amp;"|"&amp;M8</f>
        <v/>
      </c>
      <c r="P8" s="22" t="n">
        <v>1000</v>
      </c>
      <c r="Q8" s="22">
        <f>L8&amp;"|"&amp;M8</f>
        <v/>
      </c>
      <c r="R8" s="22" t="n">
        <v>49000</v>
      </c>
      <c r="S8" s="1" t="n"/>
      <c r="T8" s="1">
        <f>D53</f>
        <v/>
      </c>
      <c r="U8" s="1">
        <f>B46</f>
        <v/>
      </c>
      <c r="V8" s="1">
        <f>C46</f>
        <v/>
      </c>
      <c r="W8" s="1" t="n"/>
      <c r="X8" s="1">
        <f>I53</f>
        <v/>
      </c>
      <c r="Y8" s="1">
        <f>G46</f>
        <v/>
      </c>
      <c r="Z8" s="1">
        <f>H46</f>
        <v/>
      </c>
    </row>
    <row r="9" ht="20.25" customHeight="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2" t="n"/>
      <c r="K9" s="1" t="n"/>
      <c r="L9" s="22" t="n">
        <v>1.1</v>
      </c>
      <c r="M9" s="22" t="n">
        <v>1000000</v>
      </c>
      <c r="N9" s="22" t="n">
        <v>20000</v>
      </c>
      <c r="O9" s="22">
        <f>L9&amp;"|"&amp;M9</f>
        <v/>
      </c>
      <c r="P9" s="22" t="n">
        <v>1000</v>
      </c>
      <c r="Q9" s="22">
        <f>L9&amp;"|"&amp;M9</f>
        <v/>
      </c>
      <c r="R9" s="22" t="n">
        <v>49000</v>
      </c>
      <c r="S9" s="1" t="n"/>
      <c r="T9" s="1">
        <f>D62</f>
        <v/>
      </c>
      <c r="U9" s="1">
        <f>B55</f>
        <v/>
      </c>
      <c r="V9" s="1">
        <f>C55</f>
        <v/>
      </c>
      <c r="W9" s="1" t="n"/>
      <c r="X9" s="1">
        <f>I62</f>
        <v/>
      </c>
      <c r="Y9" s="1">
        <f>G55</f>
        <v/>
      </c>
      <c r="Z9" s="1">
        <f>H55</f>
        <v/>
      </c>
    </row>
    <row r="10" ht="20.25" customHeight="1">
      <c r="A10" s="20" t="inlineStr">
        <is>
          <t>Name</t>
        </is>
      </c>
      <c r="B10" s="20" t="inlineStr">
        <is>
          <t>JIVARAMJI</t>
        </is>
      </c>
      <c r="C10" s="20" t="inlineStr">
        <is>
          <t>YAMJAL</t>
        </is>
      </c>
      <c r="D10" s="20" t="inlineStr">
        <is>
          <t>2026-01-15</t>
        </is>
      </c>
      <c r="E10" s="21" t="n"/>
      <c r="F10" s="21" t="inlineStr">
        <is>
          <t>Name</t>
        </is>
      </c>
      <c r="G10" s="21" t="inlineStr">
        <is>
          <t>BHAWARJI</t>
        </is>
      </c>
      <c r="H10" s="21" t="inlineStr">
        <is>
          <t>BAJPLY</t>
        </is>
      </c>
      <c r="I10" s="21" t="inlineStr">
        <is>
          <t>2026-01-15</t>
        </is>
      </c>
      <c r="J10" s="22" t="n"/>
      <c r="K10" s="1" t="n"/>
      <c r="L10" s="22" t="n">
        <v>18</v>
      </c>
      <c r="M10" s="22" t="n">
        <v>500000</v>
      </c>
      <c r="N10" s="22" t="n">
        <v>20000</v>
      </c>
      <c r="O10" s="22">
        <f>L10&amp;"|"&amp;M10</f>
        <v/>
      </c>
      <c r="P10" s="22" t="n">
        <v>1000</v>
      </c>
      <c r="Q10" s="22">
        <f>L10&amp;"|"&amp;M10</f>
        <v/>
      </c>
      <c r="R10" s="22" t="n">
        <v>24000</v>
      </c>
      <c r="S10" s="1" t="n"/>
      <c r="T10" s="1">
        <f>D71</f>
        <v/>
      </c>
      <c r="U10" s="1">
        <f>B64</f>
        <v/>
      </c>
      <c r="V10" s="1">
        <f>C64</f>
        <v/>
      </c>
      <c r="W10" s="1" t="n"/>
      <c r="X10" s="1">
        <f>I71</f>
        <v/>
      </c>
      <c r="Y10" s="1">
        <f>G64</f>
        <v/>
      </c>
      <c r="Z10" s="1">
        <f>H64</f>
        <v/>
      </c>
    </row>
    <row r="11" ht="20.25" customHeight="1">
      <c r="A11" s="20" t="inlineStr">
        <is>
          <t>Month</t>
        </is>
      </c>
      <c r="B11" s="20" t="inlineStr">
        <is>
          <t>Plan</t>
        </is>
      </c>
      <c r="C11" s="20" t="inlineStr">
        <is>
          <t>Commission</t>
        </is>
      </c>
      <c r="D11" s="20" t="inlineStr">
        <is>
          <t>Amount</t>
        </is>
      </c>
      <c r="E11" s="21" t="n"/>
      <c r="F11" s="21" t="inlineStr">
        <is>
          <t>Month</t>
        </is>
      </c>
      <c r="G11" s="21" t="inlineStr">
        <is>
          <t>Plan</t>
        </is>
      </c>
      <c r="H11" s="21" t="inlineStr">
        <is>
          <t>Commission</t>
        </is>
      </c>
      <c r="I11" s="21" t="inlineStr">
        <is>
          <t>Amount</t>
        </is>
      </c>
      <c r="J11" s="22" t="n"/>
      <c r="K11" s="1" t="n"/>
      <c r="L11" s="22" t="n">
        <v>5</v>
      </c>
      <c r="M11" s="22" t="n">
        <v>500000</v>
      </c>
      <c r="N11" s="22" t="n">
        <v>20000</v>
      </c>
      <c r="O11" s="22">
        <f>L11&amp;"|"&amp;M11</f>
        <v/>
      </c>
      <c r="P11" s="22" t="n">
        <v>1000</v>
      </c>
      <c r="Q11" s="22">
        <f>L11&amp;"|"&amp;M11</f>
        <v/>
      </c>
      <c r="R11" s="22" t="n">
        <v>24000</v>
      </c>
      <c r="S11" s="1" t="n"/>
      <c r="T11" s="1">
        <f>D85</f>
        <v/>
      </c>
      <c r="U11" s="1">
        <f>B73</f>
        <v/>
      </c>
      <c r="V11" s="1">
        <f>C73</f>
        <v/>
      </c>
      <c r="W11" s="1" t="n"/>
      <c r="X11" s="1">
        <f>I85</f>
        <v/>
      </c>
      <c r="Y11" s="1">
        <f>G73</f>
        <v/>
      </c>
      <c r="Z11" s="1">
        <f>H73</f>
        <v/>
      </c>
    </row>
    <row r="12" ht="20.25" customHeight="1">
      <c r="A12" s="20" t="n">
        <v>1</v>
      </c>
      <c r="B12" s="20" t="n">
        <v>500000</v>
      </c>
      <c r="C12" s="20" t="n">
        <v>1000</v>
      </c>
      <c r="D12" s="20" t="n">
        <v>24000</v>
      </c>
      <c r="E12" s="21" t="n"/>
      <c r="F12" s="21" t="n">
        <v>1</v>
      </c>
      <c r="G12" s="21" t="n">
        <v>500000</v>
      </c>
      <c r="H12" s="21" t="n">
        <v>1000</v>
      </c>
      <c r="I12" s="21" t="n">
        <v>24000</v>
      </c>
      <c r="J12" s="22" t="n"/>
      <c r="K12" s="1" t="n"/>
      <c r="L12" s="22" t="n">
        <v>5</v>
      </c>
      <c r="M12" s="22" t="n">
        <v>1000000</v>
      </c>
      <c r="N12" s="22" t="n">
        <v>20000</v>
      </c>
      <c r="O12" s="22">
        <f>L12&amp;"|"&amp;M12</f>
        <v/>
      </c>
      <c r="P12" s="22" t="n">
        <v>1000</v>
      </c>
      <c r="Q12" s="22">
        <f>L12&amp;"|"&amp;M12</f>
        <v/>
      </c>
      <c r="R12" s="22" t="n">
        <v>49000</v>
      </c>
      <c r="S12" s="1" t="n"/>
      <c r="T12" s="1">
        <f>D94</f>
        <v/>
      </c>
      <c r="U12" s="1">
        <f>B87</f>
        <v/>
      </c>
      <c r="V12" s="1">
        <f>C87</f>
        <v/>
      </c>
      <c r="W12" s="1" t="n"/>
      <c r="X12" s="1">
        <f>I94</f>
        <v/>
      </c>
      <c r="Y12" s="1">
        <f>G87</f>
        <v/>
      </c>
      <c r="Z12" s="1">
        <f>H87</f>
        <v/>
      </c>
    </row>
    <row r="13" ht="20.25" customHeight="1">
      <c r="A13" s="20" t="n"/>
      <c r="B13" s="20" t="n"/>
      <c r="C13" s="20" t="n"/>
      <c r="D13" s="20" t="n"/>
      <c r="E13" s="21" t="n"/>
      <c r="F13" s="21" t="n"/>
      <c r="G13" s="21" t="n"/>
      <c r="H13" s="21" t="n"/>
      <c r="I13" s="21" t="n"/>
      <c r="J13" s="22" t="n"/>
      <c r="K13" s="1" t="n"/>
      <c r="L13" s="22" t="n">
        <v>5.1</v>
      </c>
      <c r="M13" s="1" t="n">
        <v>1000000</v>
      </c>
      <c r="N13" s="1" t="n">
        <v>20000</v>
      </c>
      <c r="O13" s="22">
        <f>L13&amp;"|"&amp;M13</f>
        <v/>
      </c>
      <c r="P13" s="22" t="n">
        <v>1000</v>
      </c>
      <c r="Q13" s="22">
        <f>L13&amp;"|"&amp;M13</f>
        <v/>
      </c>
      <c r="R13" s="22" t="n">
        <v>49000</v>
      </c>
      <c r="S13" s="1" t="n"/>
      <c r="T13" s="1">
        <f>D103</f>
        <v/>
      </c>
      <c r="U13" s="1">
        <f>B96</f>
        <v/>
      </c>
      <c r="V13" s="1">
        <f>C96</f>
        <v/>
      </c>
      <c r="W13" s="1" t="n"/>
      <c r="X13" s="1">
        <f>I103</f>
        <v/>
      </c>
      <c r="Y13" s="1">
        <f>G96</f>
        <v/>
      </c>
      <c r="Z13" s="1">
        <f>H96</f>
        <v/>
      </c>
    </row>
    <row r="14" ht="20.25" customHeight="1">
      <c r="A14" s="20" t="n"/>
      <c r="B14" s="20" t="n"/>
      <c r="C14" s="20" t="n"/>
      <c r="D14" s="20" t="n"/>
      <c r="E14" s="21" t="n"/>
      <c r="F14" s="21" t="n"/>
      <c r="G14" s="21" t="n"/>
      <c r="H14" s="21" t="n"/>
      <c r="I14" s="21" t="n"/>
      <c r="J14" s="22" t="n"/>
      <c r="K14" s="1" t="n"/>
      <c r="L14" s="22" t="n">
        <v>10</v>
      </c>
      <c r="M14" s="22" t="n">
        <v>1000000</v>
      </c>
      <c r="N14" s="22" t="n">
        <v>20000</v>
      </c>
      <c r="O14" s="22">
        <f>L14&amp;"|"&amp;M14</f>
        <v/>
      </c>
      <c r="P14" s="22" t="n">
        <v>1000</v>
      </c>
      <c r="Q14" s="22">
        <f>L14&amp;"|"&amp;M14</f>
        <v/>
      </c>
      <c r="R14" s="22" t="n">
        <v>49000</v>
      </c>
      <c r="S14" s="1" t="n"/>
      <c r="T14" s="1">
        <f>D112</f>
        <v/>
      </c>
      <c r="U14" s="1">
        <f>B105</f>
        <v/>
      </c>
      <c r="V14" s="1">
        <f>C105</f>
        <v/>
      </c>
      <c r="W14" s="1" t="n"/>
      <c r="X14" s="1">
        <f>I112</f>
        <v/>
      </c>
      <c r="Y14" s="1">
        <f>G105</f>
        <v/>
      </c>
      <c r="Z14" s="1">
        <f>H105</f>
        <v/>
      </c>
    </row>
    <row r="15" ht="20.25" customHeight="1">
      <c r="A15" s="20" t="n"/>
      <c r="B15" s="20" t="n"/>
      <c r="C15" s="20" t="n"/>
      <c r="D15" s="20" t="n"/>
      <c r="E15" s="21" t="n"/>
      <c r="F15" s="21" t="n"/>
      <c r="G15" s="21" t="n"/>
      <c r="H15" s="21" t="n"/>
      <c r="I15" s="21" t="n"/>
      <c r="J15" s="22" t="n"/>
      <c r="K15" s="1" t="n"/>
      <c r="L15" s="22" t="n">
        <v>1</v>
      </c>
      <c r="M15" s="22" t="n">
        <v>500000</v>
      </c>
      <c r="N15" s="22" t="n">
        <v>20000</v>
      </c>
      <c r="O15" s="22">
        <f>L15&amp;"|"&amp;M15</f>
        <v/>
      </c>
      <c r="P15" s="22" t="n">
        <v>1000</v>
      </c>
      <c r="Q15" s="22">
        <f>L15&amp;"|"&amp;M15</f>
        <v/>
      </c>
      <c r="R15" s="22" t="n">
        <v>24000</v>
      </c>
      <c r="S15" s="1" t="n"/>
      <c r="T15" s="1">
        <f>D121</f>
        <v/>
      </c>
      <c r="U15" s="1">
        <f>B114</f>
        <v/>
      </c>
      <c r="V15" s="1">
        <f>C114</f>
        <v/>
      </c>
      <c r="W15" s="1" t="n"/>
      <c r="X15" s="1">
        <f>I121</f>
        <v/>
      </c>
      <c r="Y15" s="1">
        <f>G114</f>
        <v/>
      </c>
      <c r="Z15" s="1">
        <f>H114</f>
        <v/>
      </c>
    </row>
    <row r="16" ht="20.25" customHeight="1">
      <c r="A16" s="20" t="n"/>
      <c r="B16" s="20" t="n"/>
      <c r="C16" s="20" t="n"/>
      <c r="D16" s="20" t="n"/>
      <c r="E16" s="2" t="n"/>
      <c r="F16" s="21" t="n"/>
      <c r="G16" s="21" t="n"/>
      <c r="H16" s="21" t="n"/>
      <c r="I16" s="21" t="n"/>
      <c r="J16" s="22" t="n"/>
      <c r="K16" s="1" t="n"/>
      <c r="L16" s="22" t="n">
        <v>10.1</v>
      </c>
      <c r="M16" s="22" t="n">
        <v>1000000</v>
      </c>
      <c r="N16" s="22" t="n">
        <v>20000</v>
      </c>
      <c r="O16" s="22">
        <f>L16&amp;"|"&amp;M16</f>
        <v/>
      </c>
      <c r="P16" s="22" t="n">
        <v>1000</v>
      </c>
      <c r="Q16" s="22">
        <f>L16&amp;"|"&amp;M16</f>
        <v/>
      </c>
      <c r="R16" s="22" t="n">
        <v>49000</v>
      </c>
      <c r="S16" s="1" t="n"/>
      <c r="T16" s="1">
        <f>D130</f>
        <v/>
      </c>
      <c r="U16" s="1">
        <f>B123</f>
        <v/>
      </c>
      <c r="V16" s="1">
        <f>C123</f>
        <v/>
      </c>
      <c r="W16" s="1" t="n"/>
      <c r="X16" s="1">
        <f>I130</f>
        <v/>
      </c>
      <c r="Y16" s="1">
        <f>G123</f>
        <v/>
      </c>
      <c r="Z16" s="1">
        <f>H123</f>
        <v/>
      </c>
    </row>
    <row r="17" ht="20.25" customHeight="1">
      <c r="A17" s="20" t="inlineStr">
        <is>
          <t>Total Payable</t>
        </is>
      </c>
      <c r="B17" s="20" t="n"/>
      <c r="C17" s="20" t="n">
        <v>1000</v>
      </c>
      <c r="D17" s="20" t="n">
        <v>24000</v>
      </c>
      <c r="E17" s="2" t="n"/>
      <c r="F17" s="21" t="inlineStr">
        <is>
          <t>Total Payable</t>
        </is>
      </c>
      <c r="H17" t="n">
        <v>1000</v>
      </c>
      <c r="I17" s="21" t="n">
        <v>24000</v>
      </c>
      <c r="J17" s="22" t="n"/>
      <c r="K17" s="1" t="n"/>
      <c r="L17" s="22" t="n"/>
      <c r="M17" s="1" t="n"/>
      <c r="N17" s="1" t="n"/>
      <c r="O17" s="22" t="n"/>
      <c r="P17" s="22" t="n"/>
      <c r="Q17" s="22" t="n"/>
      <c r="R17" s="22" t="n"/>
      <c r="S17" s="1" t="n"/>
      <c r="T17" s="1">
        <f>D139</f>
        <v/>
      </c>
      <c r="U17" s="1">
        <f>B132</f>
        <v/>
      </c>
      <c r="V17" s="1">
        <f>C132</f>
        <v/>
      </c>
      <c r="W17" s="1" t="n"/>
      <c r="X17" s="1">
        <f>I139</f>
        <v/>
      </c>
      <c r="Y17" s="1">
        <f>G132</f>
        <v/>
      </c>
      <c r="Z17" s="1">
        <f>H132</f>
        <v/>
      </c>
    </row>
    <row r="18" ht="20.25" customHeight="1">
      <c r="A18" s="3" t="n"/>
      <c r="B18" s="3" t="n"/>
      <c r="C18" s="3" t="n"/>
      <c r="D18" s="3" t="n"/>
      <c r="E18" s="3" t="n"/>
      <c r="F18" s="21" t="n"/>
      <c r="G18" s="21" t="n"/>
      <c r="H18" s="21" t="n"/>
      <c r="I18" s="21" t="n"/>
      <c r="J18" s="22" t="n"/>
      <c r="K18" s="1" t="n"/>
      <c r="L18" s="22" t="n">
        <v>1</v>
      </c>
      <c r="M18" s="1" t="n">
        <v>250000</v>
      </c>
      <c r="N18" s="1" t="n">
        <v>20000</v>
      </c>
      <c r="O18" s="22">
        <f>L18&amp;"|"&amp;M18</f>
        <v/>
      </c>
      <c r="P18" s="22" t="n">
        <v>1000</v>
      </c>
      <c r="Q18" s="22">
        <f>L18&amp;"|"&amp;M18</f>
        <v/>
      </c>
      <c r="R18" s="22" t="n">
        <v>11500</v>
      </c>
      <c r="S18" s="1" t="n"/>
      <c r="T18" s="1">
        <f>D148</f>
        <v/>
      </c>
      <c r="U18" s="1">
        <f>B141</f>
        <v/>
      </c>
      <c r="V18" s="1">
        <f>C141</f>
        <v/>
      </c>
      <c r="W18" s="1" t="n"/>
      <c r="X18" s="1">
        <f>I148</f>
        <v/>
      </c>
      <c r="Y18" s="1">
        <f>G141</f>
        <v/>
      </c>
      <c r="Z18" s="1">
        <f>H141</f>
        <v/>
      </c>
    </row>
    <row r="19" ht="20.25" customHeight="1">
      <c r="A19" s="20" t="inlineStr">
        <is>
          <t>Name</t>
        </is>
      </c>
      <c r="B19" s="20" t="inlineStr">
        <is>
          <t>MANGILALJI</t>
        </is>
      </c>
      <c r="C19" s="20" t="inlineStr">
        <is>
          <t>BOLARAM</t>
        </is>
      </c>
      <c r="D19" s="20" t="inlineStr">
        <is>
          <t>2026-01-15</t>
        </is>
      </c>
      <c r="E19" s="2" t="n"/>
      <c r="F19" s="21" t="inlineStr">
        <is>
          <t>Name</t>
        </is>
      </c>
      <c r="G19" s="21" t="inlineStr">
        <is>
          <t>NETHIRAMJI</t>
        </is>
      </c>
      <c r="H19" s="21" t="inlineStr">
        <is>
          <t>RAMARAM</t>
        </is>
      </c>
      <c r="I19" s="21" t="inlineStr">
        <is>
          <t>2026-01-15</t>
        </is>
      </c>
      <c r="J19" s="22" t="n"/>
      <c r="K19" s="1" t="n"/>
      <c r="L19" s="22" t="n"/>
      <c r="M19" s="1" t="n"/>
      <c r="N19" s="1" t="n"/>
      <c r="O19" s="22" t="n"/>
      <c r="P19" s="22" t="n"/>
      <c r="Q19" s="22" t="n"/>
      <c r="R19" s="22" t="n"/>
      <c r="S19" s="1" t="n"/>
      <c r="T19" s="1">
        <f>D157</f>
        <v/>
      </c>
      <c r="U19" s="1">
        <f>B150</f>
        <v/>
      </c>
      <c r="V19" s="1">
        <f>C150</f>
        <v/>
      </c>
      <c r="W19" s="1" t="n"/>
      <c r="X19" s="1">
        <f>I157</f>
        <v/>
      </c>
      <c r="Y19" s="1">
        <f>G150</f>
        <v/>
      </c>
      <c r="Z19" s="1">
        <f>H150</f>
        <v/>
      </c>
    </row>
    <row r="20" ht="20.25" customHeight="1">
      <c r="A20" s="20" t="inlineStr">
        <is>
          <t>Month</t>
        </is>
      </c>
      <c r="B20" s="20" t="inlineStr">
        <is>
          <t>Plan</t>
        </is>
      </c>
      <c r="C20" s="20" t="inlineStr">
        <is>
          <t>Commission</t>
        </is>
      </c>
      <c r="D20" s="20" t="inlineStr">
        <is>
          <t>Amount</t>
        </is>
      </c>
      <c r="E20" s="2" t="n"/>
      <c r="F20" s="21" t="inlineStr">
        <is>
          <t>Month</t>
        </is>
      </c>
      <c r="G20" s="21" t="inlineStr">
        <is>
          <t>Plan</t>
        </is>
      </c>
      <c r="H20" s="21" t="inlineStr">
        <is>
          <t>Commission</t>
        </is>
      </c>
      <c r="I20" s="21" t="inlineStr">
        <is>
          <t>Amount</t>
        </is>
      </c>
      <c r="J20" s="22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>
        <f>D166</f>
        <v/>
      </c>
      <c r="U20" s="1">
        <f>B159</f>
        <v/>
      </c>
      <c r="V20" s="1">
        <f>C159</f>
        <v/>
      </c>
      <c r="W20" s="1" t="n"/>
      <c r="X20" s="1">
        <f>I166</f>
        <v/>
      </c>
      <c r="Y20" s="1">
        <f>G159</f>
        <v/>
      </c>
      <c r="Z20" s="1">
        <f>H159</f>
        <v/>
      </c>
    </row>
    <row r="21" ht="20.25" customHeight="1">
      <c r="A21" s="20" t="n">
        <v>1</v>
      </c>
      <c r="B21" s="20" t="n">
        <v>1000000</v>
      </c>
      <c r="C21" s="20" t="n">
        <v>1000</v>
      </c>
      <c r="D21" s="20" t="n">
        <v>49000</v>
      </c>
      <c r="E21" s="2" t="n"/>
      <c r="F21" s="21" t="n">
        <v>1</v>
      </c>
      <c r="G21" s="21" t="n">
        <v>1000000</v>
      </c>
      <c r="H21" s="21" t="n">
        <v>1000</v>
      </c>
      <c r="I21" s="21" t="n">
        <v>49000</v>
      </c>
      <c r="J21" s="1" t="n"/>
      <c r="K21" s="1" t="n"/>
      <c r="L21" s="1" t="n"/>
      <c r="M21" s="1" t="n"/>
      <c r="N21" s="1" t="inlineStr">
        <is>
          <t>TOTAL</t>
        </is>
      </c>
      <c r="O21" s="1">
        <f>SUM(D8,D17,D26,D35,D44,D53,D62,D71,D85,D94,D103,D112,D121,D130,D139,D148,D157,D166,D175,D184,D193,D202,D211,D220,D229,D238,D247,D256,D265,D274,D284,D293,D302,D311,D320,D329,D338,D347,D356,D365,D374,D383,D392,D401,D410,D419,D428,D437,D446,D455,D464,D473,D482,D491,D500,D509,D518,D527,D536,D545,D554,D563,D572,D581)</f>
        <v/>
      </c>
      <c r="P21" s="1" t="n"/>
      <c r="Q21" s="1" t="inlineStr">
        <is>
          <t>TOTAL</t>
        </is>
      </c>
      <c r="R21" s="1">
        <f>SUM(I8,I17,I26,I35,I44,I53,I62,I71,I85,I94,I103,I112,I121,I130,I139,I148,I157,I166,I175,I184,I193,I202,I211,I220,I229,I238,I247,I256,I265,I274,I284,I293,I302,I311,I320,I329,I338,I347,I356,I365,I374,I383,I392,I401,I410,I419,I428,I437,I446,I455,I464,I473,I482,I491,I500,I509,I518,I527,I536,I545,I554,I563,I572)</f>
        <v/>
      </c>
      <c r="S21" s="1" t="n"/>
      <c r="T21" s="1">
        <f>D175</f>
        <v/>
      </c>
      <c r="U21" s="1">
        <f>B168</f>
        <v/>
      </c>
      <c r="V21" s="1">
        <f>C168</f>
        <v/>
      </c>
      <c r="W21" s="1" t="n"/>
      <c r="X21" s="1">
        <f>I175</f>
        <v/>
      </c>
      <c r="Y21" s="1">
        <f>G168</f>
        <v/>
      </c>
      <c r="Z21" s="1">
        <f>H168</f>
        <v/>
      </c>
    </row>
    <row r="22" ht="20.25" customHeight="1">
      <c r="A22" s="20" t="n">
        <v>10</v>
      </c>
      <c r="B22" s="20" t="n">
        <v>2000000</v>
      </c>
      <c r="C22" s="20" t="n">
        <v>1000</v>
      </c>
      <c r="D22" s="20" t="n">
        <v>99000</v>
      </c>
      <c r="E22" s="2" t="n"/>
      <c r="F22" s="21" t="n">
        <v>1.1</v>
      </c>
      <c r="G22" s="21" t="n">
        <v>1000000</v>
      </c>
      <c r="H22" s="21" t="n">
        <v>1000</v>
      </c>
      <c r="I22" s="21" t="n">
        <v>49000</v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>
        <f>D184</f>
        <v/>
      </c>
      <c r="U22" s="1">
        <f>B177</f>
        <v/>
      </c>
      <c r="V22" s="1">
        <f>C177</f>
        <v/>
      </c>
      <c r="W22" s="1" t="n"/>
      <c r="X22" s="1">
        <f>I184</f>
        <v/>
      </c>
      <c r="Y22" s="1">
        <f>G177</f>
        <v/>
      </c>
      <c r="Z22" s="1">
        <f>H177</f>
        <v/>
      </c>
    </row>
    <row r="23" ht="20.25" customHeight="1">
      <c r="A23" s="20" t="n"/>
      <c r="B23" s="20" t="n"/>
      <c r="C23" s="20" t="n"/>
      <c r="D23" s="20" t="n"/>
      <c r="E23" s="2" t="n"/>
      <c r="F23" s="21" t="n">
        <v>1.1</v>
      </c>
      <c r="G23" s="21" t="n">
        <v>1000000</v>
      </c>
      <c r="H23" s="21" t="n">
        <v>1000</v>
      </c>
      <c r="I23" s="21" t="n">
        <v>49000</v>
      </c>
      <c r="J23" s="1" t="n"/>
      <c r="K23" s="1" t="n"/>
      <c r="L23" s="1" t="n"/>
      <c r="M23" s="1" t="n"/>
      <c r="N23" s="1" t="n"/>
      <c r="O23" s="1">
        <f>SUM(O21,R21)</f>
        <v/>
      </c>
      <c r="P23" s="1" t="n"/>
      <c r="Q23" s="1" t="n"/>
      <c r="R23" s="1" t="n"/>
      <c r="S23" s="1" t="n"/>
      <c r="T23" s="1">
        <f>D193</f>
        <v/>
      </c>
      <c r="U23" s="1">
        <f>B186</f>
        <v/>
      </c>
      <c r="V23" s="1">
        <f>C186</f>
        <v/>
      </c>
      <c r="W23" s="1" t="n"/>
      <c r="X23" s="1">
        <f>I193</f>
        <v/>
      </c>
      <c r="Y23" s="1">
        <f>G186</f>
        <v/>
      </c>
      <c r="Z23" s="1">
        <f>H186</f>
        <v/>
      </c>
    </row>
    <row r="24" ht="20.25" customHeight="1">
      <c r="A24" s="20" t="n"/>
      <c r="B24" s="20" t="n"/>
      <c r="C24" s="20" t="n"/>
      <c r="D24" s="20" t="n"/>
      <c r="E24" s="2" t="n"/>
      <c r="F24" s="21" t="n"/>
      <c r="G24" s="21" t="n"/>
      <c r="H24" s="21" t="n"/>
      <c r="I24" s="21" t="n"/>
      <c r="J24" s="1" t="n"/>
      <c r="K24" s="1" t="n"/>
      <c r="L24" s="1" t="n"/>
      <c r="M24" s="1" t="n"/>
      <c r="N24" s="1" t="inlineStr">
        <is>
          <t>GRAND TOTAL</t>
        </is>
      </c>
      <c r="O24" s="1" t="n"/>
      <c r="P24" s="1" t="n"/>
      <c r="Q24" s="1" t="n"/>
      <c r="R24" s="1" t="n"/>
      <c r="S24" s="1" t="n"/>
      <c r="T24" s="1">
        <f>D202</f>
        <v/>
      </c>
      <c r="U24" s="1">
        <f>B195</f>
        <v/>
      </c>
      <c r="V24" s="1">
        <f>C195</f>
        <v/>
      </c>
      <c r="W24" s="1" t="n"/>
      <c r="X24" s="1">
        <f>I202</f>
        <v/>
      </c>
      <c r="Y24" s="1">
        <f>G195</f>
        <v/>
      </c>
      <c r="Z24" s="1">
        <f>H195</f>
        <v/>
      </c>
    </row>
    <row r="25" ht="20.25" customHeight="1">
      <c r="A25" s="20" t="n"/>
      <c r="B25" s="20" t="n"/>
      <c r="C25" s="20" t="n"/>
      <c r="D25" s="20" t="n"/>
      <c r="E25" s="2" t="n"/>
      <c r="F25" s="21" t="n"/>
      <c r="G25" s="21" t="n"/>
      <c r="H25" s="21" t="n"/>
      <c r="I25" s="2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>
        <f>D211</f>
        <v/>
      </c>
      <c r="U25" s="1">
        <f>B204</f>
        <v/>
      </c>
      <c r="V25" s="1">
        <f>C204</f>
        <v/>
      </c>
      <c r="W25" s="1" t="n"/>
      <c r="X25" s="1">
        <f>I211</f>
        <v/>
      </c>
      <c r="Y25" s="1">
        <f>G204</f>
        <v/>
      </c>
      <c r="Z25" s="1">
        <f>H204</f>
        <v/>
      </c>
    </row>
    <row r="26" ht="20.25" customHeight="1">
      <c r="A26" s="20" t="inlineStr">
        <is>
          <t>Total Payable</t>
        </is>
      </c>
      <c r="B26" s="20" t="n"/>
      <c r="C26" s="20" t="n">
        <v>2000</v>
      </c>
      <c r="D26" s="20" t="n">
        <v>148000</v>
      </c>
      <c r="E26" s="2" t="n"/>
      <c r="F26" s="21" t="inlineStr">
        <is>
          <t>Total payable</t>
        </is>
      </c>
      <c r="H26" t="n">
        <v>3000</v>
      </c>
      <c r="I26" s="21" t="n">
        <v>147000</v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>
        <f>D220</f>
        <v/>
      </c>
      <c r="U26" s="1">
        <f>B213</f>
        <v/>
      </c>
      <c r="V26" s="1">
        <f>C213</f>
        <v/>
      </c>
      <c r="W26" s="1" t="n"/>
      <c r="X26" s="1">
        <f>I220</f>
        <v/>
      </c>
      <c r="Y26" s="1">
        <f>G213</f>
        <v/>
      </c>
      <c r="Z26" s="1">
        <f>H213</f>
        <v/>
      </c>
    </row>
    <row r="27" ht="16.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>
        <f>D229</f>
        <v/>
      </c>
      <c r="U27" s="1">
        <f>B222</f>
        <v/>
      </c>
      <c r="V27" s="1">
        <f>C222</f>
        <v/>
      </c>
      <c r="W27" s="1" t="n"/>
      <c r="X27" s="1">
        <f>I229</f>
        <v/>
      </c>
      <c r="Y27" s="1">
        <f>G222</f>
        <v/>
      </c>
      <c r="Z27" s="1">
        <f>H222</f>
        <v/>
      </c>
    </row>
    <row r="28" ht="20.25" customHeight="1">
      <c r="A28" s="20" t="inlineStr">
        <is>
          <t>Name</t>
        </is>
      </c>
      <c r="B28" s="20" t="inlineStr">
        <is>
          <t>KISHANJI(2)</t>
        </is>
      </c>
      <c r="C28" s="20" t="inlineStr">
        <is>
          <t>KAMAN</t>
        </is>
      </c>
      <c r="D28" s="20" t="inlineStr">
        <is>
          <t>2026-01-15</t>
        </is>
      </c>
      <c r="E28" s="2" t="n"/>
      <c r="F28" s="21" t="inlineStr">
        <is>
          <t>Name</t>
        </is>
      </c>
      <c r="G28" s="21" t="inlineStr">
        <is>
          <t>TARARAMJI</t>
        </is>
      </c>
      <c r="H28" s="21" t="inlineStr">
        <is>
          <t>PRGATI NG</t>
        </is>
      </c>
      <c r="I28" s="21" t="inlineStr">
        <is>
          <t>2026-01-15</t>
        </is>
      </c>
      <c r="J28" s="1" t="n"/>
      <c r="K28" s="1" t="n"/>
      <c r="L28" s="1" t="n"/>
      <c r="M28" s="1" t="n"/>
      <c r="O28" s="1" t="n"/>
      <c r="P28" s="1" t="n"/>
      <c r="Q28" s="1" t="n"/>
      <c r="R28" s="1" t="n"/>
      <c r="S28" s="1" t="n"/>
      <c r="T28" s="1">
        <f>D238</f>
        <v/>
      </c>
      <c r="U28" s="1">
        <f>B231</f>
        <v/>
      </c>
      <c r="V28" s="1">
        <f>C231</f>
        <v/>
      </c>
      <c r="W28" s="1" t="n"/>
      <c r="X28" s="1">
        <f>I238</f>
        <v/>
      </c>
      <c r="Y28" s="1">
        <f>G231</f>
        <v/>
      </c>
      <c r="Z28" s="1">
        <f>H231</f>
        <v/>
      </c>
    </row>
    <row r="29" ht="20.25" customHeight="1">
      <c r="A29" s="20" t="inlineStr">
        <is>
          <t>Month</t>
        </is>
      </c>
      <c r="B29" s="20" t="inlineStr">
        <is>
          <t>Plan</t>
        </is>
      </c>
      <c r="C29" s="20" t="inlineStr">
        <is>
          <t>Commission</t>
        </is>
      </c>
      <c r="D29" s="20" t="inlineStr">
        <is>
          <t>Amount</t>
        </is>
      </c>
      <c r="E29" s="2" t="n"/>
      <c r="F29" s="21" t="inlineStr">
        <is>
          <t>Month</t>
        </is>
      </c>
      <c r="G29" s="21" t="inlineStr">
        <is>
          <t>Plan</t>
        </is>
      </c>
      <c r="H29" s="21" t="inlineStr">
        <is>
          <t>Commission</t>
        </is>
      </c>
      <c r="I29" s="21" t="inlineStr">
        <is>
          <t>Amount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>
        <f>D247</f>
        <v/>
      </c>
      <c r="U29" s="1">
        <f>B240</f>
        <v/>
      </c>
      <c r="V29" s="1">
        <f>C240</f>
        <v/>
      </c>
      <c r="W29" s="1" t="n"/>
      <c r="X29" s="1">
        <f>I247</f>
        <v/>
      </c>
      <c r="Y29" s="1">
        <f>G240</f>
        <v/>
      </c>
      <c r="Z29" s="1">
        <f>H240</f>
        <v/>
      </c>
    </row>
    <row r="30" ht="20.25" customHeight="1">
      <c r="A30" s="20" t="n">
        <v>1.1</v>
      </c>
      <c r="B30" s="20" t="n">
        <v>1000000</v>
      </c>
      <c r="C30" s="20" t="n">
        <v>1000</v>
      </c>
      <c r="D30" s="20" t="n">
        <v>49000</v>
      </c>
      <c r="E30" s="2" t="n"/>
      <c r="F30" s="21" t="n">
        <v>10</v>
      </c>
      <c r="G30" s="21" t="n">
        <v>500000</v>
      </c>
      <c r="H30" s="21" t="n">
        <v>1000</v>
      </c>
      <c r="I30" s="21" t="n">
        <v>24000</v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>
        <f>D256</f>
        <v/>
      </c>
      <c r="U30" s="1">
        <f>B249</f>
        <v/>
      </c>
      <c r="V30" s="1">
        <f>C249</f>
        <v/>
      </c>
      <c r="W30" s="1" t="n"/>
      <c r="X30" s="1">
        <f>I256</f>
        <v/>
      </c>
      <c r="Y30" s="1">
        <f>G249</f>
        <v/>
      </c>
      <c r="Z30" s="1">
        <f>H249</f>
        <v/>
      </c>
    </row>
    <row r="31" ht="20.25" customHeight="1">
      <c r="A31" s="20" t="n">
        <v>18</v>
      </c>
      <c r="B31" s="20" t="n">
        <v>500000</v>
      </c>
      <c r="C31" s="20" t="n">
        <v>1000</v>
      </c>
      <c r="D31" s="20" t="n">
        <v>24000</v>
      </c>
      <c r="E31" s="2" t="n"/>
      <c r="F31" s="21" t="n"/>
      <c r="G31" s="21" t="n"/>
      <c r="H31" s="21" t="n"/>
      <c r="I31" s="2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>
        <f>D265</f>
        <v/>
      </c>
      <c r="U31" s="1">
        <f>B258</f>
        <v/>
      </c>
      <c r="V31" s="1">
        <f>C258</f>
        <v/>
      </c>
      <c r="W31" s="1" t="n"/>
      <c r="X31" s="1">
        <f>I265</f>
        <v/>
      </c>
      <c r="Y31" s="1">
        <f>G258</f>
        <v/>
      </c>
      <c r="Z31" s="1">
        <f>H258</f>
        <v/>
      </c>
    </row>
    <row r="32" ht="20.25" customHeight="1">
      <c r="A32" s="20" t="n">
        <v>18</v>
      </c>
      <c r="B32" s="20" t="n">
        <v>500000</v>
      </c>
      <c r="C32" s="20" t="n">
        <v>1000</v>
      </c>
      <c r="D32" s="20" t="n">
        <v>24000</v>
      </c>
      <c r="E32" s="2" t="n"/>
      <c r="F32" s="21" t="n"/>
      <c r="G32" s="21" t="n"/>
      <c r="H32" s="21" t="n"/>
      <c r="I32" s="2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>
        <f>D274</f>
        <v/>
      </c>
      <c r="U32" s="1">
        <f>B267</f>
        <v/>
      </c>
      <c r="V32" s="1">
        <f>C267</f>
        <v/>
      </c>
      <c r="W32" s="1" t="n"/>
      <c r="X32" s="1">
        <f>I274</f>
        <v/>
      </c>
      <c r="Y32" s="1">
        <f>G267</f>
        <v/>
      </c>
      <c r="Z32" s="1">
        <f>H267</f>
        <v/>
      </c>
    </row>
    <row r="33" ht="20.25" customHeight="1">
      <c r="A33" s="20" t="n">
        <v>1.1</v>
      </c>
      <c r="B33" s="20" t="n">
        <v>1000000</v>
      </c>
      <c r="C33" s="20" t="n">
        <v>1000</v>
      </c>
      <c r="D33" s="20" t="n">
        <v>49000</v>
      </c>
      <c r="E33" s="2" t="n"/>
      <c r="F33" s="21" t="n"/>
      <c r="G33" s="21" t="n"/>
      <c r="H33" s="21" t="n"/>
      <c r="I33" s="2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>
        <f>D284</f>
        <v/>
      </c>
      <c r="U33" s="1">
        <f>B276</f>
        <v/>
      </c>
      <c r="V33" s="1">
        <f>C276</f>
        <v/>
      </c>
      <c r="W33" s="1" t="n"/>
      <c r="X33" s="1">
        <f>I284</f>
        <v/>
      </c>
      <c r="Y33" s="1">
        <f>G276</f>
        <v/>
      </c>
      <c r="Z33" s="1">
        <f>H276</f>
        <v/>
      </c>
    </row>
    <row r="34" ht="20.25" customHeight="1">
      <c r="A34" s="20" t="n"/>
      <c r="B34" s="20" t="n"/>
      <c r="C34" s="20" t="n"/>
      <c r="D34" s="20" t="n"/>
      <c r="E34" s="2" t="n"/>
      <c r="F34" s="21" t="n"/>
      <c r="G34" s="21" t="n"/>
      <c r="H34" s="21" t="n"/>
      <c r="I34" s="2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>
        <f>D293</f>
        <v/>
      </c>
      <c r="U34" s="1">
        <f>B286</f>
        <v/>
      </c>
      <c r="V34" s="1">
        <f>C286</f>
        <v/>
      </c>
      <c r="W34" s="1" t="n"/>
      <c r="X34" s="1">
        <f>I293</f>
        <v/>
      </c>
      <c r="Y34" s="1">
        <f>G286</f>
        <v/>
      </c>
      <c r="Z34" s="1">
        <f>H286</f>
        <v/>
      </c>
    </row>
    <row r="35" ht="20.25" customHeight="1">
      <c r="A35" s="20" t="inlineStr">
        <is>
          <t>Total Payable</t>
        </is>
      </c>
      <c r="B35" s="20" t="n"/>
      <c r="C35" s="20" t="n">
        <v>4000</v>
      </c>
      <c r="D35" s="20" t="n">
        <v>146000</v>
      </c>
      <c r="E35" s="2" t="n"/>
      <c r="F35" s="21" t="inlineStr">
        <is>
          <t>Total Payable</t>
        </is>
      </c>
      <c r="H35" t="n">
        <v>1000</v>
      </c>
      <c r="I35" s="21" t="n">
        <v>24000</v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>
        <f>D302</f>
        <v/>
      </c>
      <c r="U35" s="1">
        <f>B295</f>
        <v/>
      </c>
      <c r="V35" s="1">
        <f>C295</f>
        <v/>
      </c>
      <c r="W35" s="1" t="n"/>
      <c r="X35" s="1">
        <f>I302</f>
        <v/>
      </c>
      <c r="Y35" s="1">
        <f>G295</f>
        <v/>
      </c>
      <c r="Z35" s="1">
        <f>H295</f>
        <v/>
      </c>
    </row>
    <row r="36" ht="16.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>
        <f>D311</f>
        <v/>
      </c>
      <c r="U36" s="1">
        <f>B304</f>
        <v/>
      </c>
      <c r="V36" s="1">
        <f>C304</f>
        <v/>
      </c>
      <c r="W36" s="1" t="n"/>
      <c r="X36" s="1">
        <f>I311</f>
        <v/>
      </c>
      <c r="Y36" s="1">
        <f>G304</f>
        <v/>
      </c>
      <c r="Z36" s="1">
        <f>H304</f>
        <v/>
      </c>
    </row>
    <row r="37" ht="20.25" customHeight="1">
      <c r="A37" s="21" t="inlineStr">
        <is>
          <t>Name</t>
        </is>
      </c>
      <c r="B37" s="21" t="inlineStr">
        <is>
          <t>BHONARAMJI</t>
        </is>
      </c>
      <c r="C37" s="21" t="inlineStr">
        <is>
          <t>G.MAISAMA</t>
        </is>
      </c>
      <c r="D37" s="21" t="inlineStr">
        <is>
          <t>2026-01-15</t>
        </is>
      </c>
      <c r="E37" s="2" t="n"/>
      <c r="F37" s="21" t="inlineStr">
        <is>
          <t>Name</t>
        </is>
      </c>
      <c r="G37" s="21" t="inlineStr">
        <is>
          <t>SESHARAMJI</t>
        </is>
      </c>
      <c r="H37" s="21" t="inlineStr">
        <is>
          <t>MEDCHAL</t>
        </is>
      </c>
      <c r="I37" s="21" t="inlineStr">
        <is>
          <t>2026-01-15</t>
        </is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>
        <f>D320</f>
        <v/>
      </c>
      <c r="U37" s="1">
        <f>B313</f>
        <v/>
      </c>
      <c r="V37" s="1">
        <f>C313</f>
        <v/>
      </c>
      <c r="W37" s="1" t="n"/>
      <c r="X37" s="1">
        <f>I320</f>
        <v/>
      </c>
      <c r="Y37" s="1">
        <f>G313</f>
        <v/>
      </c>
      <c r="Z37" s="1">
        <f>H313</f>
        <v/>
      </c>
    </row>
    <row r="38" ht="20.25" customHeight="1">
      <c r="A38" s="21" t="inlineStr">
        <is>
          <t>Month</t>
        </is>
      </c>
      <c r="B38" s="21" t="inlineStr">
        <is>
          <t>Plan</t>
        </is>
      </c>
      <c r="C38" s="21" t="inlineStr">
        <is>
          <t>Commission</t>
        </is>
      </c>
      <c r="D38" s="21" t="inlineStr">
        <is>
          <t>Amount</t>
        </is>
      </c>
      <c r="E38" s="2" t="n"/>
      <c r="F38" s="21" t="inlineStr">
        <is>
          <t>Month</t>
        </is>
      </c>
      <c r="G38" s="21" t="inlineStr">
        <is>
          <t>Plan</t>
        </is>
      </c>
      <c r="H38" s="21" t="inlineStr">
        <is>
          <t>Commission</t>
        </is>
      </c>
      <c r="I38" s="21" t="inlineStr">
        <is>
          <t>Amount</t>
        </is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>
        <f>D329</f>
        <v/>
      </c>
      <c r="U38" s="1">
        <f>B322</f>
        <v/>
      </c>
      <c r="V38" s="1">
        <f>C322</f>
        <v/>
      </c>
      <c r="W38" s="1" t="n"/>
      <c r="X38" s="1">
        <f>I329</f>
        <v/>
      </c>
      <c r="Y38" s="1">
        <f>G322</f>
        <v/>
      </c>
      <c r="Z38" s="1">
        <f>H322</f>
        <v/>
      </c>
    </row>
    <row r="39" ht="20.25" customHeight="1">
      <c r="A39" s="21" t="n">
        <v>15</v>
      </c>
      <c r="B39" s="21" t="n">
        <v>250000</v>
      </c>
      <c r="C39" s="21" t="n">
        <v>1000</v>
      </c>
      <c r="D39" s="21" t="n">
        <v>11500</v>
      </c>
      <c r="E39" s="2" t="n"/>
      <c r="F39" s="21" t="n">
        <v>1.1</v>
      </c>
      <c r="G39" s="21" t="n">
        <v>1000000</v>
      </c>
      <c r="H39" s="21" t="n">
        <v>1000</v>
      </c>
      <c r="I39" s="21" t="n">
        <v>49000</v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>
        <f>D338</f>
        <v/>
      </c>
      <c r="U39" s="1">
        <f>B331</f>
        <v/>
      </c>
      <c r="V39" s="1">
        <f>C331</f>
        <v/>
      </c>
      <c r="W39" s="1" t="n"/>
      <c r="X39" s="1">
        <f>I338</f>
        <v/>
      </c>
      <c r="Y39" s="1">
        <f>G331</f>
        <v/>
      </c>
      <c r="Z39" s="1">
        <f>H331</f>
        <v/>
      </c>
    </row>
    <row r="40" ht="20.25" customHeight="1">
      <c r="A40" s="21" t="n">
        <v>1</v>
      </c>
      <c r="B40" s="21" t="n">
        <v>250000</v>
      </c>
      <c r="C40" s="21" t="n">
        <v>1000</v>
      </c>
      <c r="D40" s="21" t="n">
        <v>11500</v>
      </c>
      <c r="E40" s="2" t="n"/>
      <c r="F40" s="21" t="n">
        <v>10</v>
      </c>
      <c r="G40" s="21" t="n">
        <v>2000000</v>
      </c>
      <c r="H40" s="21" t="n">
        <v>1000</v>
      </c>
      <c r="I40" s="21" t="n">
        <v>99000</v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>
        <f>D347</f>
        <v/>
      </c>
      <c r="U40" s="1">
        <f>B340</f>
        <v/>
      </c>
      <c r="V40" s="1">
        <f>C340</f>
        <v/>
      </c>
      <c r="W40" s="1" t="n"/>
      <c r="X40" s="1">
        <f>I347</f>
        <v/>
      </c>
      <c r="Y40" s="1">
        <f>G340</f>
        <v/>
      </c>
      <c r="Z40" s="1">
        <f>H340</f>
        <v/>
      </c>
    </row>
    <row r="41" ht="20.25" customHeight="1">
      <c r="A41" s="21" t="n"/>
      <c r="B41" s="21" t="n"/>
      <c r="C41" s="21" t="n"/>
      <c r="D41" s="21" t="n"/>
      <c r="E41" s="2" t="n"/>
      <c r="F41" s="21" t="n"/>
      <c r="G41" s="21" t="n"/>
      <c r="H41" s="21" t="n"/>
      <c r="I41" s="2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>
        <f>D356</f>
        <v/>
      </c>
      <c r="U41" s="1">
        <f>B349</f>
        <v/>
      </c>
      <c r="V41" s="1">
        <f>C349</f>
        <v/>
      </c>
      <c r="W41" s="1" t="n"/>
      <c r="X41" s="1">
        <f>I356</f>
        <v/>
      </c>
      <c r="Y41" s="1">
        <f>G349</f>
        <v/>
      </c>
      <c r="Z41" s="1">
        <f>H349</f>
        <v/>
      </c>
    </row>
    <row r="42" ht="20.25" customHeight="1">
      <c r="A42" s="21" t="n"/>
      <c r="B42" s="21" t="n"/>
      <c r="C42" s="21" t="n"/>
      <c r="D42" s="21" t="n"/>
      <c r="E42" s="2" t="n"/>
      <c r="F42" s="21" t="n"/>
      <c r="G42" s="21" t="n"/>
      <c r="H42" s="21" t="n"/>
      <c r="I42" s="2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>
        <f>D365</f>
        <v/>
      </c>
      <c r="U42" s="1">
        <f>B358</f>
        <v/>
      </c>
      <c r="V42" s="1">
        <f>C358</f>
        <v/>
      </c>
      <c r="W42" s="1" t="n"/>
      <c r="X42" s="1">
        <f>I365</f>
        <v/>
      </c>
      <c r="Y42" s="1">
        <f>G358</f>
        <v/>
      </c>
      <c r="Z42" s="1">
        <f>H358</f>
        <v/>
      </c>
    </row>
    <row r="43" ht="20.25" customHeight="1">
      <c r="A43" s="21" t="n"/>
      <c r="B43" s="21" t="n"/>
      <c r="C43" s="21" t="n"/>
      <c r="D43" s="21" t="n"/>
      <c r="E43" s="2" t="n"/>
      <c r="F43" s="21" t="n"/>
      <c r="G43" s="21" t="n"/>
      <c r="H43" s="21" t="n"/>
      <c r="I43" s="2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>
        <f>D374</f>
        <v/>
      </c>
      <c r="U43" s="1">
        <f>B367</f>
        <v/>
      </c>
      <c r="V43" s="1">
        <f>C367</f>
        <v/>
      </c>
      <c r="W43" s="1" t="n"/>
      <c r="X43" s="1">
        <f>I374</f>
        <v/>
      </c>
      <c r="Y43" s="1">
        <f>G367</f>
        <v/>
      </c>
      <c r="Z43" s="1">
        <f>H367</f>
        <v/>
      </c>
    </row>
    <row r="44" ht="20.25" customHeight="1">
      <c r="A44" s="21" t="inlineStr">
        <is>
          <t>Total Payable</t>
        </is>
      </c>
      <c r="C44" t="n">
        <v>2000</v>
      </c>
      <c r="D44" s="21" t="n">
        <v>23000</v>
      </c>
      <c r="E44" s="2" t="n"/>
      <c r="F44" s="21" t="inlineStr">
        <is>
          <t>Total Payable</t>
        </is>
      </c>
      <c r="H44" t="n">
        <v>2000</v>
      </c>
      <c r="I44" s="21" t="n">
        <v>148000</v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>
        <f>D383</f>
        <v/>
      </c>
      <c r="U44" s="1">
        <f>B376</f>
        <v/>
      </c>
      <c r="V44" s="1">
        <f>C376</f>
        <v/>
      </c>
      <c r="W44" s="1" t="n"/>
      <c r="X44" s="1">
        <f>I383</f>
        <v/>
      </c>
      <c r="Y44" s="1">
        <f>G376</f>
        <v/>
      </c>
      <c r="Z44" s="1">
        <f>H376</f>
        <v/>
      </c>
    </row>
    <row r="45" ht="16.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>
        <f>D392</f>
        <v/>
      </c>
      <c r="U45" s="1">
        <f>B385</f>
        <v/>
      </c>
      <c r="V45" s="1">
        <f>C385</f>
        <v/>
      </c>
      <c r="W45" s="1" t="n"/>
      <c r="X45" s="1">
        <f>I392</f>
        <v/>
      </c>
      <c r="Y45" s="1">
        <f>G385</f>
        <v/>
      </c>
      <c r="Z45" s="1">
        <f>H385</f>
        <v/>
      </c>
    </row>
    <row r="46" ht="20.25" customHeight="1">
      <c r="A46" s="20" t="inlineStr">
        <is>
          <t>Name</t>
        </is>
      </c>
      <c r="B46" s="20" t="inlineStr">
        <is>
          <t>RAMESHJI</t>
        </is>
      </c>
      <c r="C46" s="20" t="inlineStr">
        <is>
          <t>HITECH</t>
        </is>
      </c>
      <c r="D46" s="20" t="inlineStr">
        <is>
          <t>2026-01-15</t>
        </is>
      </c>
      <c r="E46" s="2" t="n"/>
      <c r="F46" s="21" t="inlineStr">
        <is>
          <t>Name</t>
        </is>
      </c>
      <c r="G46" s="21" t="inlineStr">
        <is>
          <t>CHANDUJI</t>
        </is>
      </c>
      <c r="H46" s="21" t="inlineStr">
        <is>
          <t>KAMMAN</t>
        </is>
      </c>
      <c r="I46" s="21" t="inlineStr">
        <is>
          <t>2026-01-15</t>
        </is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>
        <f>D401</f>
        <v/>
      </c>
      <c r="U46" s="1">
        <f>B394</f>
        <v/>
      </c>
      <c r="V46" s="1">
        <f>C394</f>
        <v/>
      </c>
      <c r="W46" s="1" t="n"/>
      <c r="X46" s="1">
        <f>I401</f>
        <v/>
      </c>
      <c r="Y46" s="1">
        <f>G394</f>
        <v/>
      </c>
      <c r="Z46" s="1">
        <f>H394</f>
        <v/>
      </c>
    </row>
    <row r="47" ht="20.25" customHeight="1">
      <c r="A47" s="20" t="inlineStr">
        <is>
          <t>Month</t>
        </is>
      </c>
      <c r="B47" s="20" t="inlineStr">
        <is>
          <t>Plan</t>
        </is>
      </c>
      <c r="C47" s="20" t="inlineStr">
        <is>
          <t>Commission</t>
        </is>
      </c>
      <c r="D47" s="20" t="inlineStr">
        <is>
          <t>Amount</t>
        </is>
      </c>
      <c r="E47" s="2" t="n"/>
      <c r="F47" s="21" t="inlineStr">
        <is>
          <t>Month</t>
        </is>
      </c>
      <c r="G47" s="21" t="inlineStr">
        <is>
          <t>Plan</t>
        </is>
      </c>
      <c r="H47" s="21" t="inlineStr">
        <is>
          <t>Commission</t>
        </is>
      </c>
      <c r="I47" s="21" t="inlineStr">
        <is>
          <t>Amount</t>
        </is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>
        <f>D410</f>
        <v/>
      </c>
      <c r="U47" s="1">
        <f>B403</f>
        <v/>
      </c>
      <c r="V47" s="1">
        <f>C403</f>
        <v/>
      </c>
      <c r="W47" s="1" t="n"/>
      <c r="X47" s="1">
        <f>I410</f>
        <v/>
      </c>
      <c r="Y47" s="1">
        <f>G403</f>
        <v/>
      </c>
      <c r="Z47" s="1">
        <f>H403</f>
        <v/>
      </c>
    </row>
    <row r="48" ht="20.25" customHeight="1">
      <c r="A48" s="20" t="n">
        <v>1.1</v>
      </c>
      <c r="B48" s="20" t="n">
        <v>500000</v>
      </c>
      <c r="C48" s="20" t="n">
        <v>1000</v>
      </c>
      <c r="D48" s="20" t="n">
        <v>24000</v>
      </c>
      <c r="E48" s="2" t="n"/>
      <c r="F48" s="21" t="n">
        <v>18</v>
      </c>
      <c r="G48" s="21" t="n">
        <v>500000</v>
      </c>
      <c r="H48" s="21" t="n">
        <v>1000</v>
      </c>
      <c r="I48" s="21" t="n">
        <v>24000</v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>
        <f>D419</f>
        <v/>
      </c>
      <c r="U48" s="1">
        <f>B412</f>
        <v/>
      </c>
      <c r="V48" s="1">
        <f>C412</f>
        <v/>
      </c>
      <c r="W48" s="1" t="n"/>
      <c r="X48" s="1">
        <f>I419</f>
        <v/>
      </c>
      <c r="Y48" s="1">
        <f>G412</f>
        <v/>
      </c>
      <c r="Z48" s="1">
        <f>H412</f>
        <v/>
      </c>
    </row>
    <row r="49" ht="20.25" customHeight="1">
      <c r="A49" s="20" t="n"/>
      <c r="B49" s="20" t="n"/>
      <c r="C49" s="20" t="n"/>
      <c r="D49" s="20" t="n"/>
      <c r="E49" s="2" t="n"/>
      <c r="F49" s="21" t="n">
        <v>5</v>
      </c>
      <c r="G49" s="21" t="n">
        <v>500000</v>
      </c>
      <c r="H49" s="21" t="n">
        <v>1000</v>
      </c>
      <c r="I49" s="21" t="n">
        <v>24000</v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>
        <f>D428</f>
        <v/>
      </c>
      <c r="U49" s="1">
        <f>B421</f>
        <v/>
      </c>
      <c r="V49" s="1">
        <f>C421</f>
        <v/>
      </c>
      <c r="W49" s="1" t="n"/>
      <c r="X49" s="1">
        <f>I428</f>
        <v/>
      </c>
      <c r="Y49" s="1">
        <f>G421</f>
        <v/>
      </c>
      <c r="Z49" s="1">
        <f>H421</f>
        <v/>
      </c>
    </row>
    <row r="50" ht="20.25" customHeight="1">
      <c r="A50" s="20" t="n"/>
      <c r="B50" s="20" t="n"/>
      <c r="C50" s="20" t="n"/>
      <c r="D50" s="20" t="n"/>
      <c r="E50" s="2" t="n"/>
      <c r="F50" s="21" t="n"/>
      <c r="G50" s="21" t="n"/>
      <c r="H50" s="21" t="n"/>
      <c r="I50" s="2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>
        <f>D437</f>
        <v/>
      </c>
      <c r="U50" s="1">
        <f>B430</f>
        <v/>
      </c>
      <c r="V50" s="1">
        <f>C430</f>
        <v/>
      </c>
      <c r="W50" s="1" t="n"/>
      <c r="X50" s="1">
        <f>I437</f>
        <v/>
      </c>
      <c r="Y50" s="1">
        <f>G430</f>
        <v/>
      </c>
      <c r="Z50" s="1">
        <f>H430</f>
        <v/>
      </c>
    </row>
    <row r="51" ht="20.25" customHeight="1">
      <c r="A51" s="20" t="n"/>
      <c r="B51" s="20" t="n"/>
      <c r="C51" s="20" t="n"/>
      <c r="D51" s="20" t="n"/>
      <c r="E51" s="2" t="n"/>
      <c r="F51" s="21" t="n"/>
      <c r="G51" s="21" t="n"/>
      <c r="H51" s="21" t="n"/>
      <c r="I51" s="2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>
        <f>D446</f>
        <v/>
      </c>
      <c r="U51" s="1">
        <f>B439</f>
        <v/>
      </c>
      <c r="V51" s="1">
        <f>C439</f>
        <v/>
      </c>
      <c r="W51" s="1" t="n"/>
      <c r="X51" s="1">
        <f>I446</f>
        <v/>
      </c>
      <c r="Y51" s="1">
        <f>G439</f>
        <v/>
      </c>
      <c r="Z51" s="1">
        <f>H439</f>
        <v/>
      </c>
    </row>
    <row r="52" ht="20.25" customHeight="1">
      <c r="A52" s="20" t="n"/>
      <c r="B52" s="20" t="n"/>
      <c r="C52" s="20" t="n"/>
      <c r="D52" s="20" t="n"/>
      <c r="E52" s="2" t="n"/>
      <c r="F52" s="21" t="n"/>
      <c r="G52" s="21" t="n"/>
      <c r="H52" s="21" t="n"/>
      <c r="I52" s="2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>
        <f>D455</f>
        <v/>
      </c>
      <c r="U52" s="1">
        <f>B448</f>
        <v/>
      </c>
      <c r="V52" s="1">
        <f>C448</f>
        <v/>
      </c>
      <c r="W52" s="1" t="n"/>
      <c r="X52" s="1">
        <f>I455</f>
        <v/>
      </c>
      <c r="Y52" s="1">
        <f>G448</f>
        <v/>
      </c>
      <c r="Z52" s="1">
        <f>H448</f>
        <v/>
      </c>
    </row>
    <row r="53" ht="20.25" customHeight="1">
      <c r="A53" s="20" t="inlineStr">
        <is>
          <t>Total Payable</t>
        </is>
      </c>
      <c r="B53" s="20" t="n"/>
      <c r="C53" s="20" t="n">
        <v>1000</v>
      </c>
      <c r="D53" s="20" t="n">
        <v>24000</v>
      </c>
      <c r="E53" s="2" t="n"/>
      <c r="F53" s="21" t="inlineStr">
        <is>
          <t>Total Payable</t>
        </is>
      </c>
      <c r="H53" t="n">
        <v>2000</v>
      </c>
      <c r="I53" s="21" t="n">
        <v>48000</v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>
        <f>D464</f>
        <v/>
      </c>
      <c r="U53" s="1">
        <f>B457</f>
        <v/>
      </c>
      <c r="V53" s="1">
        <f>C457</f>
        <v/>
      </c>
      <c r="W53" s="1" t="n"/>
      <c r="X53" s="1">
        <f>I464</f>
        <v/>
      </c>
      <c r="Y53" s="1">
        <f>G457</f>
        <v/>
      </c>
      <c r="Z53" s="1">
        <f>H457</f>
        <v/>
      </c>
    </row>
    <row r="54" ht="16.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>
        <f>D473</f>
        <v/>
      </c>
      <c r="U54" s="1">
        <f>B466</f>
        <v/>
      </c>
      <c r="V54" s="1">
        <f>C466</f>
        <v/>
      </c>
      <c r="W54" s="1" t="n"/>
      <c r="X54" s="1">
        <f>I473</f>
        <v/>
      </c>
      <c r="Y54" s="1">
        <f>G466</f>
        <v/>
      </c>
      <c r="Z54" s="1">
        <f>H466</f>
        <v/>
      </c>
    </row>
    <row r="55" ht="20.25" customHeight="1">
      <c r="A55" s="21" t="inlineStr">
        <is>
          <t>Name</t>
        </is>
      </c>
      <c r="B55" s="21" t="inlineStr">
        <is>
          <t>SOHANJI</t>
        </is>
      </c>
      <c r="C55" s="21" t="inlineStr">
        <is>
          <t>KOTLAPUR</t>
        </is>
      </c>
      <c r="D55" s="21" t="inlineStr">
        <is>
          <t>2026-01-15</t>
        </is>
      </c>
      <c r="E55" s="2" t="n"/>
      <c r="F55" s="21" t="inlineStr">
        <is>
          <t>Name</t>
        </is>
      </c>
      <c r="G55" s="21" t="inlineStr">
        <is>
          <t>DEEPAKJI</t>
        </is>
      </c>
      <c r="H55" s="21" t="inlineStr">
        <is>
          <t>SUCHITRA</t>
        </is>
      </c>
      <c r="I55" s="21" t="inlineStr">
        <is>
          <t>2026-01-15</t>
        </is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>
        <f>D482</f>
        <v/>
      </c>
      <c r="U55" s="1">
        <f>B475</f>
        <v/>
      </c>
      <c r="V55" s="1">
        <f>C475</f>
        <v/>
      </c>
      <c r="W55" s="1" t="n"/>
      <c r="X55" s="1">
        <f>I482</f>
        <v/>
      </c>
      <c r="Y55" s="1">
        <f>G475</f>
        <v/>
      </c>
      <c r="Z55" s="1">
        <f>H475</f>
        <v/>
      </c>
    </row>
    <row r="56" ht="20.25" customHeight="1">
      <c r="A56" s="21" t="inlineStr">
        <is>
          <t>Month</t>
        </is>
      </c>
      <c r="B56" s="21" t="inlineStr">
        <is>
          <t>Plan</t>
        </is>
      </c>
      <c r="C56" s="21" t="inlineStr">
        <is>
          <t>Commission</t>
        </is>
      </c>
      <c r="D56" s="21" t="inlineStr">
        <is>
          <t>Amount</t>
        </is>
      </c>
      <c r="E56" s="2" t="n"/>
      <c r="F56" s="21" t="inlineStr">
        <is>
          <t>Month</t>
        </is>
      </c>
      <c r="G56" s="21" t="inlineStr">
        <is>
          <t>Plan</t>
        </is>
      </c>
      <c r="H56" s="21" t="inlineStr">
        <is>
          <t>Commission</t>
        </is>
      </c>
      <c r="I56" s="21" t="inlineStr">
        <is>
          <t>Amount</t>
        </is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>
        <f>D491</f>
        <v/>
      </c>
      <c r="U56" s="1" t="inlineStr">
        <is>
          <t>VENKATREDDY</t>
        </is>
      </c>
      <c r="V56" s="1" t="inlineStr">
        <is>
          <t>SURARAM</t>
        </is>
      </c>
      <c r="W56" s="1" t="n"/>
      <c r="X56" s="1">
        <f>I491</f>
        <v/>
      </c>
      <c r="Y56" s="1" t="inlineStr">
        <is>
          <t>PEMARAMJI</t>
        </is>
      </c>
      <c r="Z56" s="1" t="inlineStr">
        <is>
          <t>SURARAM</t>
        </is>
      </c>
    </row>
    <row r="57" ht="20.25" customHeight="1">
      <c r="A57" s="21" t="n">
        <v>1.1</v>
      </c>
      <c r="B57" s="21" t="n">
        <v>1000000</v>
      </c>
      <c r="C57" s="21" t="n">
        <v>1000</v>
      </c>
      <c r="D57" s="21" t="n">
        <v>49000</v>
      </c>
      <c r="E57" s="2" t="n"/>
      <c r="F57" s="21" t="n">
        <v>5.1</v>
      </c>
      <c r="G57" s="21" t="n">
        <v>1000000</v>
      </c>
      <c r="H57" s="21" t="n">
        <v>1000</v>
      </c>
      <c r="I57" s="21" t="n">
        <v>49000</v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>
        <f>D500</f>
        <v/>
      </c>
      <c r="U57" s="1">
        <f>B493</f>
        <v/>
      </c>
      <c r="V57" s="1">
        <f>C493</f>
        <v/>
      </c>
      <c r="W57" s="1" t="n"/>
      <c r="X57" s="1">
        <f>I500</f>
        <v/>
      </c>
      <c r="Y57" s="1">
        <f>G493</f>
        <v/>
      </c>
      <c r="Z57" s="1">
        <f>H493</f>
        <v/>
      </c>
    </row>
    <row r="58" ht="20.25" customHeight="1">
      <c r="A58" s="21" t="n">
        <v>5</v>
      </c>
      <c r="B58" s="21" t="n">
        <v>1000000</v>
      </c>
      <c r="C58" s="21" t="n">
        <v>1000</v>
      </c>
      <c r="D58" s="21" t="n">
        <v>49000</v>
      </c>
      <c r="E58" s="2" t="n"/>
      <c r="F58" s="21" t="n">
        <v>10</v>
      </c>
      <c r="G58" s="21" t="n">
        <v>500000</v>
      </c>
      <c r="H58" s="21" t="n">
        <v>1000</v>
      </c>
      <c r="I58" s="21" t="n">
        <v>24000</v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>
        <f>D509</f>
        <v/>
      </c>
      <c r="U58" s="1">
        <f>B502</f>
        <v/>
      </c>
      <c r="V58" s="1">
        <f>C502</f>
        <v/>
      </c>
      <c r="W58" s="1" t="n"/>
      <c r="X58" s="1">
        <f>I509</f>
        <v/>
      </c>
      <c r="Y58" s="1">
        <f>G502</f>
        <v/>
      </c>
      <c r="Z58" s="1">
        <f>H502</f>
        <v/>
      </c>
    </row>
    <row r="59" ht="20.25" customHeight="1">
      <c r="A59" s="21" t="n"/>
      <c r="B59" s="21" t="n"/>
      <c r="C59" s="21" t="n"/>
      <c r="D59" s="21" t="n"/>
      <c r="E59" s="2" t="n"/>
      <c r="F59" s="21" t="n"/>
      <c r="G59" s="21" t="n"/>
      <c r="H59" s="21" t="n"/>
      <c r="I59" s="2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>
        <f>D518</f>
        <v/>
      </c>
      <c r="U59" s="1">
        <f>B511</f>
        <v/>
      </c>
      <c r="V59" s="1">
        <f>C511</f>
        <v/>
      </c>
      <c r="W59" s="1" t="n"/>
      <c r="X59" s="1">
        <f>I518</f>
        <v/>
      </c>
      <c r="Y59" s="1">
        <f>G511</f>
        <v/>
      </c>
      <c r="Z59" s="1">
        <f>H511</f>
        <v/>
      </c>
    </row>
    <row r="60" ht="20.25" customHeight="1">
      <c r="A60" s="21" t="n"/>
      <c r="B60" s="21" t="n"/>
      <c r="C60" s="21" t="n"/>
      <c r="D60" s="21" t="n"/>
      <c r="E60" s="2" t="n"/>
      <c r="F60" s="21" t="n"/>
      <c r="G60" s="21" t="n"/>
      <c r="H60" s="21" t="n"/>
      <c r="I60" s="2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>
        <f>D527</f>
        <v/>
      </c>
      <c r="U60" s="1">
        <f>B520</f>
        <v/>
      </c>
      <c r="V60" s="1">
        <f>C520</f>
        <v/>
      </c>
      <c r="W60" s="1" t="n"/>
      <c r="X60" s="1">
        <f>I527</f>
        <v/>
      </c>
      <c r="Y60" s="1">
        <f>G520</f>
        <v/>
      </c>
      <c r="Z60" s="1">
        <f>H520</f>
        <v/>
      </c>
    </row>
    <row r="61" ht="20.25" customHeight="1">
      <c r="A61" s="21" t="n"/>
      <c r="B61" s="21" t="n"/>
      <c r="C61" s="21" t="n"/>
      <c r="D61" s="21" t="n"/>
      <c r="E61" s="2" t="n"/>
      <c r="F61" s="21" t="n"/>
      <c r="G61" s="21" t="n"/>
      <c r="H61" s="21" t="n"/>
      <c r="I61" s="2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>
        <f>D536</f>
        <v/>
      </c>
      <c r="U61" s="1">
        <f>B529</f>
        <v/>
      </c>
      <c r="V61" s="1">
        <f>C529</f>
        <v/>
      </c>
      <c r="W61" s="1" t="n"/>
      <c r="X61" s="1">
        <f>I536</f>
        <v/>
      </c>
      <c r="Y61" s="1">
        <f>G529</f>
        <v/>
      </c>
      <c r="Z61" s="1">
        <f>H529</f>
        <v/>
      </c>
    </row>
    <row r="62" ht="20.25" customHeight="1">
      <c r="A62" s="21" t="inlineStr">
        <is>
          <t>Total Payable</t>
        </is>
      </c>
      <c r="C62" t="n">
        <v>2000</v>
      </c>
      <c r="D62" s="21" t="n">
        <v>98000</v>
      </c>
      <c r="E62" s="2" t="n"/>
      <c r="F62" s="21" t="inlineStr">
        <is>
          <t>Total Payable</t>
        </is>
      </c>
      <c r="H62" t="n">
        <v>2000</v>
      </c>
      <c r="I62" s="21" t="n">
        <v>73000</v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>
        <f>D545</f>
        <v/>
      </c>
      <c r="U62" s="1">
        <f>B538</f>
        <v/>
      </c>
      <c r="V62" s="1">
        <f>C538</f>
        <v/>
      </c>
      <c r="W62" s="1" t="n"/>
      <c r="X62" s="1">
        <f>I545</f>
        <v/>
      </c>
      <c r="Y62" s="1">
        <f>G538</f>
        <v/>
      </c>
      <c r="Z62" s="1">
        <f>H538</f>
        <v/>
      </c>
    </row>
    <row r="63" ht="20.25" customHeight="1">
      <c r="A63" s="21" t="n"/>
      <c r="B63" s="21" t="n"/>
      <c r="C63" s="21" t="n"/>
      <c r="D63" s="21" t="n"/>
      <c r="E63" s="2" t="n"/>
      <c r="F63" s="21" t="n"/>
      <c r="G63" s="21" t="n"/>
      <c r="H63" s="21" t="n"/>
      <c r="I63" s="2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>
        <f>D554</f>
        <v/>
      </c>
      <c r="U63" s="1">
        <f>B547</f>
        <v/>
      </c>
      <c r="V63" s="1">
        <f>C547</f>
        <v/>
      </c>
      <c r="W63" s="1" t="n"/>
      <c r="X63">
        <f>I554</f>
        <v/>
      </c>
      <c r="Y63" s="1">
        <f>G547</f>
        <v/>
      </c>
      <c r="Z63" s="1">
        <f>H547</f>
        <v/>
      </c>
    </row>
    <row r="64" ht="20.25" customHeight="1">
      <c r="A64" s="16" t="inlineStr">
        <is>
          <t>NAME</t>
        </is>
      </c>
      <c r="B64" s="16" t="inlineStr">
        <is>
          <t>KUNARAMJI</t>
        </is>
      </c>
      <c r="C64" s="16" t="inlineStr">
        <is>
          <t>GANDHI NGR</t>
        </is>
      </c>
      <c r="D64" s="21" t="inlineStr">
        <is>
          <t>2026-01-15</t>
        </is>
      </c>
      <c r="E64" s="2" t="n"/>
      <c r="F64" s="21" t="inlineStr">
        <is>
          <t>Name</t>
        </is>
      </c>
      <c r="G64" s="21" t="inlineStr">
        <is>
          <t>CHENARAMJI</t>
        </is>
      </c>
      <c r="H64" s="21" t="inlineStr">
        <is>
          <t>CHINTAL</t>
        </is>
      </c>
      <c r="I64" s="21" t="inlineStr">
        <is>
          <t>2026-01-15</t>
        </is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>
        <f>D563</f>
        <v/>
      </c>
      <c r="U64">
        <f>B556</f>
        <v/>
      </c>
      <c r="V64" s="1">
        <f>C556</f>
        <v/>
      </c>
      <c r="W64" s="1" t="n"/>
      <c r="X64" s="1">
        <f>I563</f>
        <v/>
      </c>
      <c r="Y64" s="1">
        <f>G556</f>
        <v/>
      </c>
      <c r="Z64" s="1">
        <f>H556</f>
        <v/>
      </c>
    </row>
    <row r="65" ht="20.25" customHeight="1">
      <c r="A65" s="21" t="inlineStr">
        <is>
          <t>Month</t>
        </is>
      </c>
      <c r="B65" s="21" t="inlineStr">
        <is>
          <t>Plan</t>
        </is>
      </c>
      <c r="C65" s="21" t="inlineStr">
        <is>
          <t>Commission</t>
        </is>
      </c>
      <c r="D65" s="21" t="inlineStr">
        <is>
          <t>Amount</t>
        </is>
      </c>
      <c r="E65" s="2" t="n"/>
      <c r="F65" s="21" t="inlineStr">
        <is>
          <t>Month</t>
        </is>
      </c>
      <c r="G65" s="21" t="inlineStr">
        <is>
          <t>Plan</t>
        </is>
      </c>
      <c r="H65" s="21" t="inlineStr">
        <is>
          <t>Commission</t>
        </is>
      </c>
      <c r="I65" s="21" t="inlineStr">
        <is>
          <t>Amount</t>
        </is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>
        <f>D572</f>
        <v/>
      </c>
      <c r="U65" s="1">
        <f>B565</f>
        <v/>
      </c>
      <c r="V65" s="1">
        <f>C565</f>
        <v/>
      </c>
      <c r="W65" s="1" t="n"/>
      <c r="X65" s="1">
        <f>I572</f>
        <v/>
      </c>
      <c r="Y65" s="1">
        <f>G565</f>
        <v/>
      </c>
      <c r="Z65" s="1">
        <f>H565</f>
        <v/>
      </c>
    </row>
    <row r="66" ht="20.25" customHeight="1">
      <c r="A66" s="21" t="n">
        <v>1.1</v>
      </c>
      <c r="B66" s="21" t="n">
        <v>500000</v>
      </c>
      <c r="C66" s="21" t="n">
        <v>1000</v>
      </c>
      <c r="D66" s="21" t="n">
        <v>24000</v>
      </c>
      <c r="E66" s="2" t="n"/>
      <c r="F66" s="21" t="n">
        <v>1.1</v>
      </c>
      <c r="G66" s="21" t="n">
        <v>500000</v>
      </c>
      <c r="H66" s="21" t="n">
        <v>1000</v>
      </c>
      <c r="I66" s="21" t="n">
        <v>24000</v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>
        <f>D581</f>
        <v/>
      </c>
      <c r="U66" s="1">
        <f>B574</f>
        <v/>
      </c>
      <c r="V66">
        <f>C574</f>
        <v/>
      </c>
      <c r="X66" s="1" t="n"/>
      <c r="Y66" s="1" t="n"/>
      <c r="Z66" s="1" t="n"/>
    </row>
    <row r="67" ht="20.25" customHeight="1">
      <c r="A67" s="21" t="n">
        <v>10</v>
      </c>
      <c r="B67" s="21" t="n">
        <v>2000000</v>
      </c>
      <c r="C67" s="21" t="n">
        <v>1000</v>
      </c>
      <c r="D67" s="21" t="n">
        <v>99000</v>
      </c>
      <c r="E67" s="2" t="n"/>
      <c r="F67" s="21" t="n">
        <v>10</v>
      </c>
      <c r="G67" s="21" t="n">
        <v>500000</v>
      </c>
      <c r="H67" s="21" t="n">
        <v>1000</v>
      </c>
      <c r="I67" s="21" t="n">
        <v>24000</v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U67" s="1" t="n"/>
      <c r="V67" s="1" t="n"/>
      <c r="W67" s="1" t="n"/>
      <c r="Y67" s="1" t="n"/>
      <c r="Z67" s="1" t="n"/>
    </row>
    <row r="68" ht="20.25" customHeight="1">
      <c r="A68" s="21" t="n"/>
      <c r="B68" s="21" t="n"/>
      <c r="C68" s="21" t="n"/>
      <c r="D68" s="21" t="n"/>
      <c r="E68" s="2" t="n"/>
      <c r="F68" s="21" t="n"/>
      <c r="G68" s="21" t="n"/>
      <c r="H68" s="21" t="n"/>
      <c r="I68" s="2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20.25" customHeight="1">
      <c r="A69" s="21" t="n"/>
      <c r="B69" s="21" t="n"/>
      <c r="C69" s="21" t="n"/>
      <c r="D69" s="21" t="n"/>
      <c r="E69" s="2" t="n"/>
      <c r="F69" s="21" t="n"/>
      <c r="G69" s="21" t="n"/>
      <c r="H69" s="21" t="n"/>
      <c r="I69" s="2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>
        <f>SUM(T3:T67)</f>
        <v/>
      </c>
      <c r="U69" s="1" t="n"/>
      <c r="V69" s="1" t="n"/>
      <c r="W69" s="1" t="n"/>
      <c r="X69" s="1">
        <f>SUM(X3:X66)</f>
        <v/>
      </c>
      <c r="Y69" s="1" t="n"/>
      <c r="Z69" s="1" t="n"/>
    </row>
    <row r="70" ht="20.25" customHeight="1">
      <c r="A70" s="21" t="n"/>
      <c r="B70" s="21" t="n"/>
      <c r="C70" s="21" t="n"/>
      <c r="D70" s="21" t="n"/>
      <c r="E70" s="2" t="n"/>
      <c r="F70" s="2" t="n"/>
      <c r="G70" s="2" t="n"/>
      <c r="H70" s="2" t="n"/>
      <c r="I70" s="2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20.25" customHeight="1">
      <c r="A71" s="16" t="inlineStr">
        <is>
          <t>TOTAL PAYABLE</t>
        </is>
      </c>
      <c r="B71" s="16" t="n"/>
      <c r="C71" s="13" t="n">
        <v>2000</v>
      </c>
      <c r="D71" s="21" t="n">
        <v>123000</v>
      </c>
      <c r="E71" s="2" t="n"/>
      <c r="F71" s="21" t="inlineStr">
        <is>
          <t>Total Payable</t>
        </is>
      </c>
      <c r="H71" t="n">
        <v>2000</v>
      </c>
      <c r="I71" s="21" t="n">
        <v>48000</v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inlineStr">
        <is>
          <t>TOTAL</t>
        </is>
      </c>
      <c r="W71" s="7" t="n"/>
      <c r="X71" s="1">
        <f>SUM(T69,X69)</f>
        <v/>
      </c>
      <c r="Y71" s="1" t="n"/>
      <c r="Z71" s="1" t="n"/>
    </row>
    <row r="72" ht="20.25" customHeight="1">
      <c r="A72" s="21" t="n"/>
      <c r="B72" s="21" t="n"/>
      <c r="C72" s="21" t="n"/>
      <c r="D72" s="21" t="n"/>
      <c r="E72" s="2" t="n"/>
      <c r="F72" s="21" t="n"/>
      <c r="G72" s="21" t="n"/>
      <c r="H72" s="21" t="n"/>
      <c r="I72" s="2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0.25" customHeight="1">
      <c r="A73" s="21" t="inlineStr">
        <is>
          <t>Name</t>
        </is>
      </c>
      <c r="B73" s="21" t="inlineStr">
        <is>
          <t>MATAJI</t>
        </is>
      </c>
      <c r="C73" s="21" t="inlineStr">
        <is>
          <t>G.R</t>
        </is>
      </c>
      <c r="D73" s="21" t="inlineStr">
        <is>
          <t>2026-01-15</t>
        </is>
      </c>
      <c r="E73" s="2" t="n"/>
      <c r="F73" s="21" t="inlineStr">
        <is>
          <t>Name</t>
        </is>
      </c>
      <c r="G73" s="21" t="inlineStr">
        <is>
          <t>MATAJI</t>
        </is>
      </c>
      <c r="H73" s="21" t="inlineStr">
        <is>
          <t>J.E.W</t>
        </is>
      </c>
      <c r="I73" s="21" t="inlineStr">
        <is>
          <t>2026-01-15</t>
        </is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20.25" customHeight="1">
      <c r="A74" s="21" t="inlineStr">
        <is>
          <t>Month</t>
        </is>
      </c>
      <c r="B74" s="21" t="inlineStr">
        <is>
          <t>Plan</t>
        </is>
      </c>
      <c r="C74" s="21" t="inlineStr">
        <is>
          <t>Commission</t>
        </is>
      </c>
      <c r="D74" s="21" t="inlineStr">
        <is>
          <t>Amount</t>
        </is>
      </c>
      <c r="E74" s="2" t="n"/>
      <c r="F74" s="21" t="inlineStr">
        <is>
          <t>Month</t>
        </is>
      </c>
      <c r="G74" s="21" t="inlineStr">
        <is>
          <t>Plan</t>
        </is>
      </c>
      <c r="H74" s="21" t="inlineStr">
        <is>
          <t>Commission</t>
        </is>
      </c>
      <c r="I74" s="21" t="inlineStr">
        <is>
          <t>Amount</t>
        </is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20.25" customHeight="1">
      <c r="A75" s="21" t="n">
        <v>1</v>
      </c>
      <c r="B75" s="21" t="n">
        <v>1000000</v>
      </c>
      <c r="C75" s="21" t="n">
        <v>1000</v>
      </c>
      <c r="D75" s="21" t="n">
        <v>49000</v>
      </c>
      <c r="E75" s="2" t="n"/>
      <c r="F75" s="21" t="n">
        <v>5</v>
      </c>
      <c r="G75" s="21" t="n">
        <v>1000000</v>
      </c>
      <c r="H75" s="21" t="n">
        <v>1000</v>
      </c>
      <c r="I75" s="21" t="n">
        <v>49000</v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20.25" customHeight="1">
      <c r="A76" s="21" t="n">
        <v>1.1</v>
      </c>
      <c r="B76" s="21" t="n">
        <v>1000000</v>
      </c>
      <c r="C76" s="21" t="n">
        <v>1000</v>
      </c>
      <c r="D76" s="21" t="n">
        <v>49000</v>
      </c>
      <c r="E76" s="2" t="n"/>
      <c r="F76" s="21" t="n">
        <v>5</v>
      </c>
      <c r="G76" s="21" t="n">
        <v>1000000</v>
      </c>
      <c r="H76" s="21" t="n">
        <v>1000</v>
      </c>
      <c r="I76" s="21" t="n">
        <v>49000</v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0.25" customHeight="1">
      <c r="A77" s="21" t="n">
        <v>5</v>
      </c>
      <c r="B77" s="21" t="n">
        <v>1000000</v>
      </c>
      <c r="C77" s="21" t="n">
        <v>1000</v>
      </c>
      <c r="D77" s="21" t="n">
        <v>49000</v>
      </c>
      <c r="E77" s="2" t="n"/>
      <c r="F77" s="21" t="n">
        <v>5.1</v>
      </c>
      <c r="G77" s="21" t="n">
        <v>1000000</v>
      </c>
      <c r="H77" s="21" t="n">
        <v>1000</v>
      </c>
      <c r="I77" s="21" t="n">
        <v>49000</v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0.25" customHeight="1">
      <c r="A78" s="21" t="n">
        <v>5.1</v>
      </c>
      <c r="B78" s="21" t="n">
        <v>1000000</v>
      </c>
      <c r="C78" s="21" t="n">
        <v>1000</v>
      </c>
      <c r="D78" s="21" t="n">
        <v>49000</v>
      </c>
      <c r="E78" s="2" t="n"/>
      <c r="F78" s="21" t="n">
        <v>5.1</v>
      </c>
      <c r="G78" s="21" t="n">
        <v>1000000</v>
      </c>
      <c r="H78" s="21" t="n">
        <v>1000</v>
      </c>
      <c r="I78" s="21" t="n">
        <v>49000</v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20.25" customHeight="1">
      <c r="A79" s="21" t="n">
        <v>5.1</v>
      </c>
      <c r="B79" s="21" t="n">
        <v>1000000</v>
      </c>
      <c r="C79" s="21" t="n">
        <v>1000</v>
      </c>
      <c r="D79" s="21" t="n">
        <v>49000</v>
      </c>
      <c r="E79" s="2" t="n"/>
      <c r="F79" s="21" t="n">
        <v>10</v>
      </c>
      <c r="G79" s="21" t="n">
        <v>500000</v>
      </c>
      <c r="H79" s="21" t="n">
        <v>1000</v>
      </c>
      <c r="I79" s="21" t="n">
        <v>24000</v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20.25" customHeight="1">
      <c r="A80" s="21" t="n">
        <v>15</v>
      </c>
      <c r="B80" s="21" t="n">
        <v>250000</v>
      </c>
      <c r="C80" s="21" t="n">
        <v>1000</v>
      </c>
      <c r="D80" s="21" t="n">
        <v>11500</v>
      </c>
      <c r="E80" s="2" t="n"/>
      <c r="F80" s="21" t="n">
        <v>1</v>
      </c>
      <c r="G80" s="21" t="n">
        <v>500000</v>
      </c>
      <c r="H80" s="21" t="n">
        <v>1000</v>
      </c>
      <c r="I80" s="21" t="n">
        <v>24000</v>
      </c>
      <c r="J80" s="1" t="n"/>
      <c r="K80" s="1" t="n"/>
      <c r="L80" s="1" t="n"/>
      <c r="M80" s="1" t="n"/>
      <c r="N80" s="1" t="n"/>
      <c r="O80" s="22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20.25" customHeight="1">
      <c r="A81" s="21" t="n">
        <v>1.1</v>
      </c>
      <c r="B81" s="21" t="n">
        <v>500000</v>
      </c>
      <c r="C81" s="21" t="n">
        <v>1000</v>
      </c>
      <c r="D81" s="21" t="n">
        <v>24000</v>
      </c>
      <c r="E81" s="2" t="n"/>
      <c r="F81" s="21" t="n">
        <v>1</v>
      </c>
      <c r="G81" s="21" t="n">
        <v>500000</v>
      </c>
      <c r="H81" s="21" t="n">
        <v>1000</v>
      </c>
      <c r="I81" s="21" t="n">
        <v>24000</v>
      </c>
      <c r="J81" s="1" t="n"/>
      <c r="K81" s="1" t="n"/>
      <c r="L81" s="22" t="n"/>
      <c r="M81" s="22" t="n"/>
      <c r="N81" s="22" t="n"/>
      <c r="O81" s="22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20.25" customHeight="1">
      <c r="A82" s="21" t="n">
        <v>1</v>
      </c>
      <c r="B82" s="21" t="n">
        <v>250000</v>
      </c>
      <c r="C82" s="21" t="n">
        <v>1000</v>
      </c>
      <c r="D82" s="21" t="n">
        <v>11500</v>
      </c>
      <c r="E82" s="2" t="n"/>
      <c r="F82" s="21" t="n">
        <v>1</v>
      </c>
      <c r="G82" s="21" t="n">
        <v>1000000</v>
      </c>
      <c r="H82" s="21" t="n">
        <v>1000</v>
      </c>
      <c r="I82" s="21" t="n">
        <v>49000</v>
      </c>
      <c r="J82" s="1" t="n"/>
      <c r="K82" s="1" t="n"/>
      <c r="L82" s="22" t="n"/>
      <c r="M82" s="22" t="n"/>
      <c r="N82" s="22" t="n"/>
      <c r="O82" s="22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20.25" customHeight="1">
      <c r="A83" s="21" t="n">
        <v>10</v>
      </c>
      <c r="B83" s="21" t="n">
        <v>2000000</v>
      </c>
      <c r="C83" s="21" t="n">
        <v>1000</v>
      </c>
      <c r="D83" s="21" t="n">
        <v>99000</v>
      </c>
      <c r="E83" s="2" t="n"/>
      <c r="F83" s="21" t="n">
        <v>1.1</v>
      </c>
      <c r="G83" s="21" t="n">
        <v>1000000</v>
      </c>
      <c r="H83" s="21" t="n">
        <v>1000</v>
      </c>
      <c r="I83" s="21" t="n">
        <v>49000</v>
      </c>
      <c r="J83" s="1" t="n"/>
      <c r="K83" s="1" t="n"/>
      <c r="L83" s="22" t="n"/>
      <c r="M83" s="22" t="n"/>
      <c r="N83" s="22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20.25" customHeight="1">
      <c r="A84" s="21" t="n">
        <v>5</v>
      </c>
      <c r="B84" s="21" t="n">
        <v>500000</v>
      </c>
      <c r="C84" s="21" t="n">
        <v>1000</v>
      </c>
      <c r="D84" s="21" t="n">
        <v>24000</v>
      </c>
      <c r="E84" s="2" t="n"/>
      <c r="F84" s="21" t="n">
        <v>10</v>
      </c>
      <c r="G84" s="21" t="n">
        <v>1000000</v>
      </c>
      <c r="H84" s="21" t="n">
        <v>1000</v>
      </c>
      <c r="I84" s="21" t="n">
        <v>49000</v>
      </c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20.25" customHeight="1">
      <c r="A85" s="21" t="inlineStr">
        <is>
          <t>Total Payable</t>
        </is>
      </c>
      <c r="B85" s="21" t="n"/>
      <c r="C85" s="21" t="n">
        <v>10000</v>
      </c>
      <c r="D85" s="21" t="n">
        <v>415000</v>
      </c>
      <c r="E85" s="2" t="n"/>
      <c r="F85" s="21" t="inlineStr">
        <is>
          <t>Total Payable</t>
        </is>
      </c>
      <c r="H85" t="n">
        <v>10000</v>
      </c>
      <c r="I85" s="21" t="n">
        <v>415000</v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6.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0.25" customHeight="1">
      <c r="A87" s="21" t="inlineStr">
        <is>
          <t>Name</t>
        </is>
      </c>
      <c r="B87" s="21" t="inlineStr">
        <is>
          <t>MOHANLALJI</t>
        </is>
      </c>
      <c r="C87" s="21" t="inlineStr">
        <is>
          <t>SNT.NAGAR</t>
        </is>
      </c>
      <c r="D87" s="21" t="inlineStr">
        <is>
          <t>2026-01-15</t>
        </is>
      </c>
      <c r="E87" s="2" t="n"/>
      <c r="F87" s="21" t="inlineStr">
        <is>
          <t>Name</t>
        </is>
      </c>
      <c r="G87" s="21" t="inlineStr">
        <is>
          <t>SUNILJI</t>
        </is>
      </c>
      <c r="H87" s="21" t="inlineStr">
        <is>
          <t>S.P</t>
        </is>
      </c>
      <c r="I87" s="21" t="inlineStr">
        <is>
          <t>2026-01-15</t>
        </is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20.25" customHeight="1">
      <c r="A88" s="21" t="inlineStr">
        <is>
          <t>Month</t>
        </is>
      </c>
      <c r="B88" s="21" t="inlineStr">
        <is>
          <t>Plan</t>
        </is>
      </c>
      <c r="C88" s="21" t="inlineStr">
        <is>
          <t>Commission</t>
        </is>
      </c>
      <c r="D88" s="21" t="inlineStr">
        <is>
          <t>Amount</t>
        </is>
      </c>
      <c r="E88" s="2" t="n"/>
      <c r="F88" s="21" t="inlineStr">
        <is>
          <t>Month</t>
        </is>
      </c>
      <c r="G88" s="21" t="inlineStr">
        <is>
          <t>Plan</t>
        </is>
      </c>
      <c r="H88" s="21" t="inlineStr">
        <is>
          <t>Commission</t>
        </is>
      </c>
      <c r="I88" s="21" t="inlineStr">
        <is>
          <t>Amount</t>
        </is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20.25" customHeight="1">
      <c r="A89" s="21" t="n">
        <v>1.1</v>
      </c>
      <c r="B89" s="21" t="n">
        <v>1000000</v>
      </c>
      <c r="C89" s="21" t="n">
        <v>1000</v>
      </c>
      <c r="D89" s="21" t="n">
        <v>49000</v>
      </c>
      <c r="E89" s="2" t="n"/>
      <c r="F89" s="21" t="n">
        <v>1.1</v>
      </c>
      <c r="G89" s="21" t="n">
        <v>500000</v>
      </c>
      <c r="H89" s="21" t="n">
        <v>1000</v>
      </c>
      <c r="I89" s="21" t="n">
        <v>24000</v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20.25" customHeight="1">
      <c r="A90" s="21" t="n">
        <v>5</v>
      </c>
      <c r="B90" s="21" t="n">
        <v>1000000</v>
      </c>
      <c r="C90" s="21" t="n">
        <v>1000</v>
      </c>
      <c r="D90" s="21" t="n">
        <v>49000</v>
      </c>
      <c r="E90" s="2" t="n"/>
      <c r="F90" s="21" t="n"/>
      <c r="G90" s="21" t="n"/>
      <c r="H90" s="21" t="n"/>
      <c r="I90" s="2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20.25" customHeight="1">
      <c r="A91" s="21" t="n">
        <v>10</v>
      </c>
      <c r="B91" s="21" t="n">
        <v>2000000</v>
      </c>
      <c r="C91" s="21" t="n">
        <v>1000</v>
      </c>
      <c r="D91" s="21" t="n">
        <v>99000</v>
      </c>
      <c r="E91" s="2" t="n"/>
      <c r="F91" s="21" t="n"/>
      <c r="G91" s="21" t="n"/>
      <c r="H91" s="21" t="n"/>
      <c r="I91" s="2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0.25" customHeight="1">
      <c r="A92" s="21" t="n">
        <v>10</v>
      </c>
      <c r="B92" s="21" t="n">
        <v>2000000</v>
      </c>
      <c r="C92" s="21" t="n">
        <v>1000</v>
      </c>
      <c r="D92" s="21" t="n">
        <v>99000</v>
      </c>
      <c r="E92" s="2" t="n"/>
      <c r="F92" s="21" t="n"/>
      <c r="G92" s="21" t="n"/>
      <c r="H92" s="21" t="n"/>
      <c r="I92" s="2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20.25" customHeight="1">
      <c r="A93" s="21" t="n"/>
      <c r="B93" s="21" t="n"/>
      <c r="C93" s="21" t="n"/>
      <c r="D93" s="21" t="n"/>
      <c r="E93" s="2" t="n"/>
      <c r="F93" s="21" t="n"/>
      <c r="G93" s="21" t="n"/>
      <c r="H93" s="21" t="n"/>
      <c r="I93" s="2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20.25" customHeight="1">
      <c r="A94" s="21" t="inlineStr">
        <is>
          <t>Total Payable</t>
        </is>
      </c>
      <c r="B94" s="21" t="n"/>
      <c r="C94" s="21" t="n">
        <v>4000</v>
      </c>
      <c r="D94" s="21" t="n">
        <v>296000</v>
      </c>
      <c r="E94" s="2" t="n"/>
      <c r="F94" s="21" t="inlineStr">
        <is>
          <t>Total Payable</t>
        </is>
      </c>
      <c r="H94" t="n">
        <v>1000</v>
      </c>
      <c r="I94" s="21" t="n">
        <v>24000</v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6.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20.25" customHeight="1">
      <c r="A96" s="21" t="inlineStr">
        <is>
          <t>Name</t>
        </is>
      </c>
      <c r="B96" s="21" t="inlineStr">
        <is>
          <t>PRAKASHJI</t>
        </is>
      </c>
      <c r="C96" s="21" t="inlineStr">
        <is>
          <t>KONDAPUR</t>
        </is>
      </c>
      <c r="D96" s="21" t="inlineStr">
        <is>
          <t>2026-01-15</t>
        </is>
      </c>
      <c r="E96" s="2" t="n"/>
      <c r="F96" s="21" t="inlineStr">
        <is>
          <t>Name</t>
        </is>
      </c>
      <c r="G96" s="21" t="inlineStr">
        <is>
          <t>NEMARAMJI</t>
        </is>
      </c>
      <c r="H96" s="21" t="inlineStr">
        <is>
          <t>S.R NAGAR</t>
        </is>
      </c>
      <c r="I96" s="21" t="inlineStr">
        <is>
          <t>2026-01-15</t>
        </is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20.25" customHeight="1">
      <c r="A97" s="21" t="inlineStr">
        <is>
          <t>Month</t>
        </is>
      </c>
      <c r="B97" s="21" t="inlineStr">
        <is>
          <t>Plan</t>
        </is>
      </c>
      <c r="C97" s="21" t="inlineStr">
        <is>
          <t>Commission</t>
        </is>
      </c>
      <c r="D97" s="21" t="inlineStr">
        <is>
          <t>Amount</t>
        </is>
      </c>
      <c r="E97" s="2" t="n"/>
      <c r="F97" s="21" t="inlineStr">
        <is>
          <t>Month</t>
        </is>
      </c>
      <c r="G97" s="21" t="inlineStr">
        <is>
          <t>Plan</t>
        </is>
      </c>
      <c r="H97" s="21" t="inlineStr">
        <is>
          <t>Commission</t>
        </is>
      </c>
      <c r="I97" s="21" t="inlineStr">
        <is>
          <t>Amount</t>
        </is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20.25" customHeight="1">
      <c r="A98" s="21" t="n">
        <v>1</v>
      </c>
      <c r="B98" s="21" t="n">
        <v>500000</v>
      </c>
      <c r="C98" s="21" t="n">
        <v>1000</v>
      </c>
      <c r="D98" s="21" t="n">
        <v>24000</v>
      </c>
      <c r="E98" s="2" t="n"/>
      <c r="F98" s="21" t="n">
        <v>1</v>
      </c>
      <c r="G98" s="21" t="n">
        <v>1000000</v>
      </c>
      <c r="H98" s="21" t="n">
        <v>1000</v>
      </c>
      <c r="I98" s="21" t="n">
        <v>49000</v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20.25" customHeight="1">
      <c r="A99" s="21" t="n">
        <v>10</v>
      </c>
      <c r="B99" s="21" t="n">
        <v>500000</v>
      </c>
      <c r="C99" s="21" t="n">
        <v>1000</v>
      </c>
      <c r="D99" s="21" t="n">
        <v>24000</v>
      </c>
      <c r="E99" s="2" t="n"/>
      <c r="F99" s="21" t="n">
        <v>1.1</v>
      </c>
      <c r="G99" s="21" t="n">
        <v>1000000</v>
      </c>
      <c r="H99" s="21" t="n">
        <v>1000</v>
      </c>
      <c r="I99" s="21" t="n">
        <v>49000</v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20.25" customHeight="1">
      <c r="A100" s="21" t="n"/>
      <c r="B100" s="21" t="n"/>
      <c r="C100" s="21" t="n"/>
      <c r="D100" s="21" t="n"/>
      <c r="E100" s="2" t="n"/>
      <c r="F100" s="21" t="n">
        <v>5</v>
      </c>
      <c r="G100" s="21" t="n">
        <v>1000000</v>
      </c>
      <c r="H100" s="21" t="n">
        <v>1000</v>
      </c>
      <c r="I100" s="21" t="n">
        <v>49000</v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20.25" customHeight="1">
      <c r="A101" s="21" t="n"/>
      <c r="B101" s="21" t="n"/>
      <c r="C101" s="21" t="n"/>
      <c r="D101" s="21" t="n"/>
      <c r="E101" s="2" t="n"/>
      <c r="F101" s="21" t="n"/>
      <c r="G101" s="21" t="n"/>
      <c r="H101" s="21" t="n"/>
      <c r="I101" s="2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0.25" customHeight="1">
      <c r="A102" s="21" t="n"/>
      <c r="B102" s="21" t="n"/>
      <c r="C102" s="21" t="n"/>
      <c r="D102" s="21" t="n"/>
      <c r="E102" s="2" t="n"/>
      <c r="F102" s="21" t="n"/>
      <c r="G102" s="21" t="n"/>
      <c r="H102" s="21" t="n"/>
      <c r="I102" s="2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20.25" customHeight="1">
      <c r="A103" s="21" t="inlineStr">
        <is>
          <t>Total Payable</t>
        </is>
      </c>
      <c r="B103" s="21" t="n"/>
      <c r="C103" s="21" t="n">
        <v>2000</v>
      </c>
      <c r="D103" s="21" t="n">
        <v>48000</v>
      </c>
      <c r="E103" s="2" t="n"/>
      <c r="F103" s="21" t="inlineStr">
        <is>
          <t>Total Payable</t>
        </is>
      </c>
      <c r="H103" t="n">
        <v>3000</v>
      </c>
      <c r="I103" s="21" t="n">
        <v>147000</v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6.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21.75" customHeight="1">
      <c r="A105" s="21" t="inlineStr">
        <is>
          <t>Name</t>
        </is>
      </c>
      <c r="B105" s="21" t="inlineStr">
        <is>
          <t>NARAYANJI</t>
        </is>
      </c>
      <c r="C105" s="21" t="inlineStr">
        <is>
          <t>SHAPUR</t>
        </is>
      </c>
      <c r="D105" s="21" t="inlineStr">
        <is>
          <t>2026-01-15</t>
        </is>
      </c>
      <c r="E105" s="2" t="n"/>
      <c r="F105" s="21" t="inlineStr">
        <is>
          <t>Name</t>
        </is>
      </c>
      <c r="G105" s="21" t="inlineStr">
        <is>
          <t>HIMTARAMJI</t>
        </is>
      </c>
      <c r="H105" s="21" t="inlineStr">
        <is>
          <t>MEDCHAL</t>
        </is>
      </c>
      <c r="I105" s="21" t="inlineStr">
        <is>
          <t>2026-01-15</t>
        </is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20.25" customHeight="1">
      <c r="A106" s="21" t="inlineStr">
        <is>
          <t>Month</t>
        </is>
      </c>
      <c r="B106" s="21" t="inlineStr">
        <is>
          <t>Plan</t>
        </is>
      </c>
      <c r="C106" s="21" t="inlineStr">
        <is>
          <t>Commission</t>
        </is>
      </c>
      <c r="D106" s="21" t="inlineStr">
        <is>
          <t>Amount</t>
        </is>
      </c>
      <c r="E106" s="2" t="n"/>
      <c r="F106" s="21" t="inlineStr">
        <is>
          <t>Month</t>
        </is>
      </c>
      <c r="G106" s="21" t="inlineStr">
        <is>
          <t>Plan</t>
        </is>
      </c>
      <c r="H106" s="21" t="inlineStr">
        <is>
          <t>Commission</t>
        </is>
      </c>
      <c r="I106" s="21" t="inlineStr">
        <is>
          <t>Amount</t>
        </is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20.25" customHeight="1">
      <c r="A107" s="21" t="n">
        <v>1</v>
      </c>
      <c r="B107" s="21" t="n">
        <v>500000</v>
      </c>
      <c r="C107" s="21" t="n">
        <v>1000</v>
      </c>
      <c r="D107" s="21" t="n">
        <v>24000</v>
      </c>
      <c r="E107" s="2" t="n"/>
      <c r="F107" s="21" t="n">
        <v>1</v>
      </c>
      <c r="G107" s="21" t="n">
        <v>500000</v>
      </c>
      <c r="H107" s="21" t="n">
        <v>1000</v>
      </c>
      <c r="I107" s="21" t="n">
        <v>24000</v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20.25" customHeight="1">
      <c r="A108" s="21" t="n"/>
      <c r="B108" s="21" t="n"/>
      <c r="C108" s="21" t="n"/>
      <c r="D108" s="21" t="n"/>
      <c r="E108" s="2" t="n"/>
      <c r="F108" s="21" t="n">
        <v>1</v>
      </c>
      <c r="G108" s="21" t="n">
        <v>1000000</v>
      </c>
      <c r="H108" s="21" t="n">
        <v>1000</v>
      </c>
      <c r="I108" s="21" t="n">
        <v>49000</v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20.25" customHeight="1">
      <c r="A109" s="21" t="n"/>
      <c r="B109" s="21" t="n"/>
      <c r="C109" s="21" t="n"/>
      <c r="D109" s="21" t="n"/>
      <c r="E109" s="2" t="n"/>
      <c r="F109" s="21" t="n">
        <v>10</v>
      </c>
      <c r="G109" s="21" t="n">
        <v>2000000</v>
      </c>
      <c r="H109" s="21" t="n">
        <v>1000</v>
      </c>
      <c r="I109" s="21" t="n">
        <v>99000</v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20.25" customHeight="1">
      <c r="A110" s="21" t="n"/>
      <c r="B110" s="21" t="n"/>
      <c r="C110" s="21" t="n"/>
      <c r="D110" s="21" t="n"/>
      <c r="E110" s="2" t="n"/>
      <c r="F110" s="21" t="n"/>
      <c r="G110" s="21" t="n"/>
      <c r="H110" s="21" t="n"/>
      <c r="I110" s="2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20.25" customHeight="1">
      <c r="A111" s="21" t="n"/>
      <c r="B111" s="21" t="n"/>
      <c r="C111" s="21" t="n"/>
      <c r="D111" s="21" t="n"/>
      <c r="E111" s="2" t="n"/>
      <c r="F111" s="21" t="n"/>
      <c r="G111" s="21" t="n"/>
      <c r="H111" s="21" t="n"/>
      <c r="I111" s="2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0.25" customHeight="1">
      <c r="A112" s="21" t="inlineStr">
        <is>
          <t>Total Payable</t>
        </is>
      </c>
      <c r="B112" s="21" t="n"/>
      <c r="C112" s="21" t="n">
        <v>1000</v>
      </c>
      <c r="D112" s="21" t="n">
        <v>24000</v>
      </c>
      <c r="E112" s="2" t="n"/>
      <c r="F112" s="21" t="inlineStr">
        <is>
          <t>Total Payable</t>
        </is>
      </c>
      <c r="H112" t="n">
        <v>3000</v>
      </c>
      <c r="I112" s="21" t="n">
        <v>172000</v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6.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20.25" customHeight="1">
      <c r="A114" s="21" t="inlineStr">
        <is>
          <t>Name</t>
        </is>
      </c>
      <c r="B114" s="21" t="inlineStr">
        <is>
          <t>CHENARAMJI</t>
        </is>
      </c>
      <c r="C114" s="21" t="inlineStr">
        <is>
          <t>KOTLAPUR</t>
        </is>
      </c>
      <c r="D114" s="21" t="inlineStr">
        <is>
          <t>2026-01-15</t>
        </is>
      </c>
      <c r="E114" s="2" t="n"/>
      <c r="F114" s="21" t="inlineStr">
        <is>
          <t>Name</t>
        </is>
      </c>
      <c r="G114" s="21" t="inlineStr">
        <is>
          <t>GOVINDJI</t>
        </is>
      </c>
      <c r="H114" s="21" t="inlineStr">
        <is>
          <t>MGD NAGAR</t>
        </is>
      </c>
      <c r="I114" s="21" t="inlineStr">
        <is>
          <t>2026-01-15</t>
        </is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20.25" customHeight="1">
      <c r="A115" s="21" t="inlineStr">
        <is>
          <t>Month</t>
        </is>
      </c>
      <c r="B115" s="21" t="inlineStr">
        <is>
          <t>Plan</t>
        </is>
      </c>
      <c r="C115" s="21" t="inlineStr">
        <is>
          <t>Commission</t>
        </is>
      </c>
      <c r="D115" s="21" t="inlineStr">
        <is>
          <t>Amount</t>
        </is>
      </c>
      <c r="E115" s="2" t="n"/>
      <c r="F115" s="21" t="inlineStr">
        <is>
          <t>Month</t>
        </is>
      </c>
      <c r="G115" s="21" t="inlineStr">
        <is>
          <t>Plan</t>
        </is>
      </c>
      <c r="H115" s="21" t="inlineStr">
        <is>
          <t>Commission</t>
        </is>
      </c>
      <c r="I115" s="21" t="inlineStr">
        <is>
          <t>Amount</t>
        </is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20.25" customHeight="1">
      <c r="A116" s="21" t="n">
        <v>1</v>
      </c>
      <c r="B116" s="21" t="n">
        <v>500000</v>
      </c>
      <c r="C116" s="21" t="n">
        <v>1000</v>
      </c>
      <c r="D116" s="21" t="n">
        <v>24000</v>
      </c>
      <c r="E116" s="2" t="n"/>
      <c r="F116" s="21" t="n">
        <v>1</v>
      </c>
      <c r="G116" s="21" t="n">
        <v>1000000</v>
      </c>
      <c r="H116" s="21" t="n">
        <v>1000</v>
      </c>
      <c r="I116" s="21" t="n">
        <v>49000</v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20.25" customHeight="1">
      <c r="A117" s="21" t="n">
        <v>5.1</v>
      </c>
      <c r="B117" s="21" t="n">
        <v>1000000</v>
      </c>
      <c r="C117" s="21" t="n">
        <v>1000</v>
      </c>
      <c r="D117" s="21" t="n">
        <v>49000</v>
      </c>
      <c r="E117" s="2" t="n"/>
      <c r="F117" s="21" t="n">
        <v>10</v>
      </c>
      <c r="G117" s="21" t="n">
        <v>2000000</v>
      </c>
      <c r="H117" s="21" t="n">
        <v>1000</v>
      </c>
      <c r="I117" s="21" t="n">
        <v>99000</v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20.25" customHeight="1">
      <c r="A118" s="21" t="n">
        <v>15</v>
      </c>
      <c r="B118" s="21" t="n">
        <v>500000</v>
      </c>
      <c r="C118" s="21" t="n">
        <v>500</v>
      </c>
      <c r="D118" s="21" t="n">
        <v>24500</v>
      </c>
      <c r="E118" s="2" t="n"/>
      <c r="F118" s="21" t="n"/>
      <c r="G118" s="21" t="n"/>
      <c r="H118" s="21" t="n"/>
      <c r="I118" s="2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20.25" customHeight="1">
      <c r="A119" s="21" t="n">
        <v>15</v>
      </c>
      <c r="B119" s="21" t="n">
        <v>500000</v>
      </c>
      <c r="C119" s="21" t="n">
        <v>500</v>
      </c>
      <c r="D119" s="21" t="n">
        <v>24500</v>
      </c>
      <c r="E119" s="2" t="n"/>
      <c r="F119" s="21" t="n"/>
      <c r="G119" s="21" t="n"/>
      <c r="H119" s="21" t="n"/>
      <c r="I119" s="2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20.25" customHeight="1">
      <c r="A120" s="21" t="n"/>
      <c r="B120" s="21" t="n"/>
      <c r="C120" s="21" t="n"/>
      <c r="D120" s="21" t="n"/>
      <c r="E120" s="2" t="n"/>
      <c r="F120" s="21" t="n"/>
      <c r="G120" s="21" t="n"/>
      <c r="H120" s="21" t="n"/>
      <c r="I120" s="2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20.25" customHeight="1">
      <c r="A121" s="21" t="inlineStr">
        <is>
          <t>Total Payable</t>
        </is>
      </c>
      <c r="B121" s="21" t="n"/>
      <c r="C121" s="21" t="n">
        <v>3000</v>
      </c>
      <c r="D121" s="21" t="n">
        <v>122000</v>
      </c>
      <c r="E121" s="2" t="n"/>
      <c r="F121" s="21" t="inlineStr">
        <is>
          <t>Total Payable</t>
        </is>
      </c>
      <c r="H121" t="n">
        <v>2000</v>
      </c>
      <c r="I121" s="21" t="n">
        <v>148000</v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6.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20.25" customHeight="1">
      <c r="A123" s="21" t="inlineStr">
        <is>
          <t>Name</t>
        </is>
      </c>
      <c r="B123" s="21" t="inlineStr">
        <is>
          <t>NARAYANLALJI</t>
        </is>
      </c>
      <c r="C123" s="21" t="inlineStr">
        <is>
          <t>SUBASH NGR</t>
        </is>
      </c>
      <c r="D123" s="21" t="inlineStr">
        <is>
          <t>2026-01-15</t>
        </is>
      </c>
      <c r="E123" s="2" t="n"/>
      <c r="F123" s="21" t="inlineStr">
        <is>
          <t>Name</t>
        </is>
      </c>
      <c r="G123" s="21" t="inlineStr">
        <is>
          <t>VAKTARAMJI</t>
        </is>
      </c>
      <c r="H123" s="21" t="inlineStr">
        <is>
          <t>RMNTPUR</t>
        </is>
      </c>
      <c r="I123" s="21" t="inlineStr">
        <is>
          <t>2026-01-15</t>
        </is>
      </c>
      <c r="J123" s="1" t="n"/>
      <c r="K123" s="1" t="n"/>
      <c r="L123" s="1" t="n"/>
      <c r="M123" s="1" t="inlineStr">
        <is>
          <t>B</t>
        </is>
      </c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20.25" customHeight="1">
      <c r="A124" s="21" t="inlineStr">
        <is>
          <t>Month</t>
        </is>
      </c>
      <c r="B124" s="21" t="inlineStr">
        <is>
          <t>Plan</t>
        </is>
      </c>
      <c r="C124" s="21" t="inlineStr">
        <is>
          <t>Commission</t>
        </is>
      </c>
      <c r="D124" s="21" t="inlineStr">
        <is>
          <t>Amount</t>
        </is>
      </c>
      <c r="E124" s="2" t="n"/>
      <c r="F124" s="21" t="inlineStr">
        <is>
          <t>Month</t>
        </is>
      </c>
      <c r="G124" s="21" t="inlineStr">
        <is>
          <t>Plan</t>
        </is>
      </c>
      <c r="H124" s="21" t="inlineStr">
        <is>
          <t>Commission</t>
        </is>
      </c>
      <c r="I124" s="21" t="inlineStr">
        <is>
          <t>Amount</t>
        </is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20.25" customHeight="1">
      <c r="A125" s="21" t="n">
        <v>1</v>
      </c>
      <c r="B125" s="21" t="n">
        <v>500000</v>
      </c>
      <c r="C125" s="21" t="n">
        <v>1000</v>
      </c>
      <c r="D125" s="21" t="n">
        <v>24000</v>
      </c>
      <c r="E125" s="2" t="n"/>
      <c r="F125" s="21" t="n">
        <v>1</v>
      </c>
      <c r="G125" s="21" t="n">
        <v>1000000</v>
      </c>
      <c r="H125" s="21" t="n">
        <v>1000</v>
      </c>
      <c r="I125" s="21" t="n">
        <v>49000</v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20.25" customHeight="1">
      <c r="A126" s="21" t="n">
        <v>10</v>
      </c>
      <c r="B126" s="21" t="n">
        <v>2000000</v>
      </c>
      <c r="C126" s="21" t="n">
        <v>1000</v>
      </c>
      <c r="D126" s="21" t="n">
        <v>99000</v>
      </c>
      <c r="E126" s="2" t="n"/>
      <c r="F126" s="21" t="n">
        <v>15</v>
      </c>
      <c r="G126" s="21" t="n">
        <v>500000</v>
      </c>
      <c r="H126" s="21" t="n">
        <v>500</v>
      </c>
      <c r="I126" s="21" t="n">
        <v>24500</v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20.25" customHeight="1">
      <c r="A127" s="21" t="n"/>
      <c r="B127" s="21" t="n"/>
      <c r="C127" s="21" t="n"/>
      <c r="D127" s="21" t="n"/>
      <c r="E127" s="2" t="n"/>
      <c r="F127" s="21" t="n">
        <v>15</v>
      </c>
      <c r="G127" s="21" t="n">
        <v>500000</v>
      </c>
      <c r="H127" s="21" t="n">
        <v>500</v>
      </c>
      <c r="I127" s="21" t="n">
        <v>24500</v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20.25" customHeight="1">
      <c r="A128" s="21" t="n"/>
      <c r="B128" s="21" t="n"/>
      <c r="C128" s="21" t="n"/>
      <c r="D128" s="21" t="n"/>
      <c r="E128" s="2" t="n"/>
      <c r="F128" s="21" t="n">
        <v>5.1</v>
      </c>
      <c r="G128" s="21" t="n">
        <v>1000000</v>
      </c>
      <c r="H128" s="21" t="n">
        <v>1000</v>
      </c>
      <c r="I128" s="21" t="n">
        <v>49000</v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20.25" customHeight="1">
      <c r="A129" s="21" t="n"/>
      <c r="B129" s="21" t="n"/>
      <c r="C129" s="21" t="n"/>
      <c r="D129" s="21" t="n"/>
      <c r="E129" s="2" t="n"/>
      <c r="F129" s="21" t="n">
        <v>5</v>
      </c>
      <c r="G129" s="21" t="n">
        <v>500000</v>
      </c>
      <c r="H129" s="21" t="n">
        <v>1000</v>
      </c>
      <c r="I129" s="21" t="n">
        <v>24000</v>
      </c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20.25" customHeight="1">
      <c r="A130" s="21" t="inlineStr">
        <is>
          <t>Total Payable</t>
        </is>
      </c>
      <c r="B130" s="21" t="n"/>
      <c r="C130" s="21" t="n">
        <v>2000</v>
      </c>
      <c r="D130" s="21" t="n">
        <v>123000</v>
      </c>
      <c r="E130" s="2" t="n"/>
      <c r="F130" s="21" t="inlineStr">
        <is>
          <t>Total Payable</t>
        </is>
      </c>
      <c r="H130" t="n">
        <v>4000</v>
      </c>
      <c r="I130" s="21" t="n">
        <v>171000</v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6.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20.25" customHeight="1">
      <c r="A132" s="21" t="inlineStr">
        <is>
          <t>Name</t>
        </is>
      </c>
      <c r="B132" s="21" t="inlineStr">
        <is>
          <t>BHUNDARAMJI</t>
        </is>
      </c>
      <c r="C132" s="21" t="inlineStr">
        <is>
          <t>MIYAPUR</t>
        </is>
      </c>
      <c r="D132" s="21" t="inlineStr">
        <is>
          <t>2026-01-15</t>
        </is>
      </c>
      <c r="E132" s="2" t="n"/>
      <c r="F132" s="21" t="inlineStr">
        <is>
          <t>Name</t>
        </is>
      </c>
      <c r="G132" s="21" t="inlineStr">
        <is>
          <t>MOHANJI</t>
        </is>
      </c>
      <c r="H132" s="21" t="inlineStr">
        <is>
          <t>NARSAPUR</t>
        </is>
      </c>
      <c r="I132" s="21" t="inlineStr">
        <is>
          <t>2026-01-15</t>
        </is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20.25" customHeight="1">
      <c r="A133" s="21" t="inlineStr">
        <is>
          <t>Month</t>
        </is>
      </c>
      <c r="B133" s="21" t="inlineStr">
        <is>
          <t>Plan</t>
        </is>
      </c>
      <c r="C133" s="21" t="inlineStr">
        <is>
          <t>Commission</t>
        </is>
      </c>
      <c r="D133" s="21" t="inlineStr">
        <is>
          <t>Amount</t>
        </is>
      </c>
      <c r="E133" s="2" t="n"/>
      <c r="F133" s="21" t="inlineStr">
        <is>
          <t>Month</t>
        </is>
      </c>
      <c r="G133" s="21" t="inlineStr">
        <is>
          <t>Plan</t>
        </is>
      </c>
      <c r="H133" s="21" t="inlineStr">
        <is>
          <t>Commission</t>
        </is>
      </c>
      <c r="I133" s="21" t="inlineStr">
        <is>
          <t>Amount</t>
        </is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20.25" customHeight="1">
      <c r="A134" s="21" t="n">
        <v>1</v>
      </c>
      <c r="B134" s="21" t="n">
        <v>500000</v>
      </c>
      <c r="C134" s="21" t="n">
        <v>1000</v>
      </c>
      <c r="D134" s="21" t="n">
        <v>24000</v>
      </c>
      <c r="E134" s="2" t="n"/>
      <c r="F134" s="21" t="n">
        <v>1</v>
      </c>
      <c r="G134" s="21" t="n">
        <v>500000</v>
      </c>
      <c r="H134" s="21" t="n">
        <v>1000</v>
      </c>
      <c r="I134" s="21" t="n">
        <v>24000</v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20.25" customHeight="1">
      <c r="A135" s="21" t="n">
        <v>5</v>
      </c>
      <c r="B135" s="21" t="n">
        <v>1000000</v>
      </c>
      <c r="C135" s="21" t="n">
        <v>1000</v>
      </c>
      <c r="D135" s="21" t="n">
        <v>49000</v>
      </c>
      <c r="E135" s="2" t="n"/>
      <c r="F135" s="21" t="n"/>
      <c r="G135" s="21" t="n"/>
      <c r="H135" s="21" t="n"/>
      <c r="I135" s="2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20.25" customHeight="1">
      <c r="A136" s="21" t="n"/>
      <c r="B136" s="21" t="n"/>
      <c r="C136" s="21" t="n"/>
      <c r="D136" s="21" t="n"/>
      <c r="E136" s="2" t="n"/>
      <c r="F136" s="21" t="n"/>
      <c r="G136" s="21" t="n"/>
      <c r="H136" s="21" t="n"/>
      <c r="I136" s="2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20.25" customHeight="1">
      <c r="A137" s="21" t="n"/>
      <c r="B137" s="21" t="n"/>
      <c r="C137" s="21" t="n"/>
      <c r="D137" s="21" t="n"/>
      <c r="E137" s="2" t="n"/>
      <c r="F137" s="21" t="n"/>
      <c r="G137" s="21" t="n"/>
      <c r="H137" s="21" t="n"/>
      <c r="I137" s="2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20.25" customHeight="1">
      <c r="A138" s="21" t="n"/>
      <c r="B138" s="21" t="n"/>
      <c r="C138" s="21" t="n"/>
      <c r="D138" s="21" t="n"/>
      <c r="E138" s="2" t="n"/>
      <c r="F138" s="21" t="n"/>
      <c r="G138" s="21" t="n"/>
      <c r="H138" s="21" t="n"/>
      <c r="I138" s="2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20.25" customHeight="1">
      <c r="A139" s="21" t="inlineStr">
        <is>
          <t>Total Payable</t>
        </is>
      </c>
      <c r="B139" s="21" t="n"/>
      <c r="C139" s="21" t="n">
        <v>2000</v>
      </c>
      <c r="D139" s="21" t="n">
        <v>73000</v>
      </c>
      <c r="E139" s="2" t="n"/>
      <c r="F139" s="21" t="inlineStr">
        <is>
          <t>Total Payable</t>
        </is>
      </c>
      <c r="H139" t="n">
        <v>1000</v>
      </c>
      <c r="I139" s="21" t="n">
        <v>24000</v>
      </c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6.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20.25" customHeight="1">
      <c r="A141" s="21" t="inlineStr">
        <is>
          <t>Name</t>
        </is>
      </c>
      <c r="B141" s="21" t="inlineStr">
        <is>
          <t>POKARJI</t>
        </is>
      </c>
      <c r="C141" s="21" t="inlineStr">
        <is>
          <t>J GUTTA</t>
        </is>
      </c>
      <c r="D141" s="21" t="inlineStr">
        <is>
          <t>2026-01-15</t>
        </is>
      </c>
      <c r="E141" s="2" t="n"/>
      <c r="F141" s="15" t="inlineStr">
        <is>
          <t>NAME</t>
        </is>
      </c>
      <c r="G141" s="15" t="inlineStr">
        <is>
          <t>VAJJARAMJI</t>
        </is>
      </c>
      <c r="H141" s="15" t="inlineStr">
        <is>
          <t>RING ROAD</t>
        </is>
      </c>
      <c r="I141" s="21" t="inlineStr">
        <is>
          <t>2026-01-15</t>
        </is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20.25" customHeight="1">
      <c r="A142" s="21" t="inlineStr">
        <is>
          <t>Month</t>
        </is>
      </c>
      <c r="B142" s="21" t="inlineStr">
        <is>
          <t>Plan</t>
        </is>
      </c>
      <c r="C142" s="21" t="inlineStr">
        <is>
          <t>Commission</t>
        </is>
      </c>
      <c r="D142" s="21" t="inlineStr">
        <is>
          <t>Amount</t>
        </is>
      </c>
      <c r="E142" s="2" t="n"/>
      <c r="F142" s="21" t="inlineStr">
        <is>
          <t>Month</t>
        </is>
      </c>
      <c r="G142" s="21" t="inlineStr">
        <is>
          <t>Plan</t>
        </is>
      </c>
      <c r="H142" s="21" t="inlineStr">
        <is>
          <t>Commission</t>
        </is>
      </c>
      <c r="I142" s="21" t="inlineStr">
        <is>
          <t>Amount</t>
        </is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20.25" customHeight="1">
      <c r="A143" s="21" t="n">
        <v>1</v>
      </c>
      <c r="B143" s="21" t="n">
        <v>500000</v>
      </c>
      <c r="C143" s="21" t="n">
        <v>1000</v>
      </c>
      <c r="D143" s="21" t="n">
        <v>24000</v>
      </c>
      <c r="E143" s="2" t="n"/>
      <c r="F143" s="21" t="n">
        <v>5</v>
      </c>
      <c r="G143" s="21" t="n">
        <v>1000000</v>
      </c>
      <c r="H143" s="21" t="n">
        <v>1000</v>
      </c>
      <c r="I143" s="21" t="n">
        <v>49000</v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20.25" customHeight="1">
      <c r="A144" s="21" t="n">
        <v>15</v>
      </c>
      <c r="B144" s="21" t="n">
        <v>500000</v>
      </c>
      <c r="C144" s="21" t="n">
        <v>500</v>
      </c>
      <c r="D144" s="21" t="n">
        <v>24500</v>
      </c>
      <c r="E144" s="2" t="n"/>
      <c r="F144" s="21" t="n">
        <v>5.1</v>
      </c>
      <c r="G144" s="21" t="n">
        <v>1000000</v>
      </c>
      <c r="H144" s="21" t="n">
        <v>1000</v>
      </c>
      <c r="I144" s="21" t="n">
        <v>49000</v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20.25" customHeight="1">
      <c r="A145" s="21" t="n">
        <v>18</v>
      </c>
      <c r="B145" s="21" t="n">
        <v>500000</v>
      </c>
      <c r="C145" s="21" t="n">
        <v>1000</v>
      </c>
      <c r="D145" s="21" t="n">
        <v>24000</v>
      </c>
      <c r="E145" s="2" t="n"/>
      <c r="F145" s="21" t="n"/>
      <c r="G145" s="21" t="n"/>
      <c r="H145" s="21" t="n"/>
      <c r="I145" s="2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20.25" customHeight="1">
      <c r="A146" s="21" t="n">
        <v>5</v>
      </c>
      <c r="B146" s="21" t="n">
        <v>1000000</v>
      </c>
      <c r="C146" s="21" t="n">
        <v>1000</v>
      </c>
      <c r="D146" s="21" t="n">
        <v>49000</v>
      </c>
      <c r="E146" s="2" t="n"/>
      <c r="F146" s="21" t="n"/>
      <c r="G146" s="21" t="n"/>
      <c r="H146" s="21" t="n"/>
      <c r="I146" s="2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20.25" customHeight="1">
      <c r="A147" s="21" t="n"/>
      <c r="B147" s="21" t="n"/>
      <c r="C147" s="21" t="n"/>
      <c r="D147" s="21" t="n"/>
      <c r="E147" s="2" t="n"/>
      <c r="F147" s="21" t="n"/>
      <c r="G147" s="21" t="n"/>
      <c r="H147" s="21" t="n"/>
      <c r="I147" s="2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20.25" customHeight="1">
      <c r="A148" s="21" t="inlineStr">
        <is>
          <t>Total Payable</t>
        </is>
      </c>
      <c r="B148" s="21" t="n"/>
      <c r="C148" s="21" t="n">
        <v>3500</v>
      </c>
      <c r="D148" s="21" t="n">
        <v>121500</v>
      </c>
      <c r="E148" s="2" t="n"/>
      <c r="F148" s="21" t="inlineStr">
        <is>
          <t>Total Payable</t>
        </is>
      </c>
      <c r="H148" t="n">
        <v>2000</v>
      </c>
      <c r="I148" s="21" t="n">
        <v>98000</v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20.25" customHeight="1">
      <c r="A149" s="2" t="n"/>
      <c r="B149" s="2" t="n"/>
      <c r="C149" s="2" t="n"/>
      <c r="D149" s="2" t="n"/>
      <c r="E149" s="2" t="n"/>
      <c r="F149" s="21" t="n"/>
      <c r="G149" s="21" t="n"/>
      <c r="H149" s="21" t="n"/>
      <c r="I149" s="2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20.25" customHeight="1">
      <c r="A150" s="21" t="inlineStr">
        <is>
          <t>Name</t>
        </is>
      </c>
      <c r="B150" s="21" t="inlineStr">
        <is>
          <t>UDARAMJI</t>
        </is>
      </c>
      <c r="C150" s="21" t="inlineStr">
        <is>
          <t>CHINTAL</t>
        </is>
      </c>
      <c r="D150" s="21" t="inlineStr">
        <is>
          <t>2026-01-15</t>
        </is>
      </c>
      <c r="E150" s="2" t="n"/>
      <c r="F150" s="21" t="inlineStr">
        <is>
          <t>Name</t>
        </is>
      </c>
      <c r="G150" s="21" t="inlineStr">
        <is>
          <t>SUMERSINGHJI</t>
        </is>
      </c>
      <c r="H150" s="21" t="inlineStr">
        <is>
          <t>KU PALLY</t>
        </is>
      </c>
      <c r="I150" s="21" t="inlineStr">
        <is>
          <t>2026-01-15</t>
        </is>
      </c>
      <c r="J150" s="2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20.25" customHeight="1">
      <c r="A151" s="21" t="inlineStr">
        <is>
          <t>Month</t>
        </is>
      </c>
      <c r="B151" s="21" t="inlineStr">
        <is>
          <t>Plan</t>
        </is>
      </c>
      <c r="C151" s="21" t="inlineStr">
        <is>
          <t>Commission</t>
        </is>
      </c>
      <c r="D151" s="21" t="inlineStr">
        <is>
          <t>Amount</t>
        </is>
      </c>
      <c r="E151" s="2" t="n"/>
      <c r="F151" s="21" t="inlineStr">
        <is>
          <t>Month</t>
        </is>
      </c>
      <c r="G151" s="21" t="inlineStr">
        <is>
          <t>Plan</t>
        </is>
      </c>
      <c r="H151" s="21" t="inlineStr">
        <is>
          <t>Commission</t>
        </is>
      </c>
      <c r="I151" s="21" t="inlineStr">
        <is>
          <t>Amount</t>
        </is>
      </c>
      <c r="J151" s="3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20.25" customHeight="1">
      <c r="A152" s="21" t="n">
        <v>5</v>
      </c>
      <c r="B152" s="21" t="n">
        <v>500000</v>
      </c>
      <c r="C152" s="21" t="n">
        <v>1000</v>
      </c>
      <c r="D152" s="21" t="n">
        <v>24000</v>
      </c>
      <c r="E152" s="21" t="n"/>
      <c r="F152" s="21" t="n">
        <v>1</v>
      </c>
      <c r="G152" s="21" t="n">
        <v>500000</v>
      </c>
      <c r="H152" s="21" t="n">
        <v>1000</v>
      </c>
      <c r="I152" s="21" t="n">
        <v>24000</v>
      </c>
      <c r="J152" s="1" t="n"/>
      <c r="K152" s="21" t="n"/>
      <c r="L152" s="21" t="n"/>
      <c r="M152" s="2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20.25" customHeight="1">
      <c r="A153" s="21" t="n"/>
      <c r="B153" s="21" t="n"/>
      <c r="C153" s="21" t="n"/>
      <c r="D153" s="21" t="n"/>
      <c r="E153" s="2" t="n"/>
      <c r="F153" s="21" t="n">
        <v>18</v>
      </c>
      <c r="G153" s="21" t="n">
        <v>500000</v>
      </c>
      <c r="H153" s="21" t="n">
        <v>1000</v>
      </c>
      <c r="I153" s="21" t="n">
        <v>24000</v>
      </c>
      <c r="J153" s="1" t="n"/>
      <c r="K153" s="3" t="n"/>
      <c r="L153" s="3" t="n"/>
      <c r="M153" s="3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20.25" customHeight="1">
      <c r="A154" s="21" t="n"/>
      <c r="B154" s="21" t="n"/>
      <c r="C154" s="21" t="n"/>
      <c r="D154" s="21" t="n"/>
      <c r="E154" s="2" t="n"/>
      <c r="F154" s="21" t="n">
        <v>5</v>
      </c>
      <c r="G154" s="21" t="n">
        <v>1000000</v>
      </c>
      <c r="H154" s="21" t="n">
        <v>1000</v>
      </c>
      <c r="I154" s="21" t="n">
        <v>49000</v>
      </c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20.25" customHeight="1">
      <c r="A155" s="21" t="n"/>
      <c r="B155" s="21" t="n"/>
      <c r="C155" s="21" t="n"/>
      <c r="D155" s="21" t="n"/>
      <c r="E155" s="2" t="n"/>
      <c r="F155" s="21" t="n"/>
      <c r="G155" s="21" t="n"/>
      <c r="H155" s="21" t="n"/>
      <c r="I155" s="2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20.25" customHeight="1">
      <c r="A156" s="21" t="n"/>
      <c r="B156" s="21" t="n"/>
      <c r="C156" s="21" t="n"/>
      <c r="D156" s="21" t="n"/>
      <c r="E156" s="2" t="n"/>
      <c r="F156" s="21" t="n"/>
      <c r="G156" s="21" t="n"/>
      <c r="H156" s="21" t="n"/>
      <c r="I156" s="2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20.25" customHeight="1">
      <c r="A157" s="21" t="inlineStr">
        <is>
          <t>Total Payable</t>
        </is>
      </c>
      <c r="B157" s="21" t="n"/>
      <c r="C157" s="21" t="n">
        <v>1000</v>
      </c>
      <c r="D157" s="21" t="n">
        <v>24000</v>
      </c>
      <c r="E157" s="2" t="n"/>
      <c r="F157" s="21" t="inlineStr">
        <is>
          <t>Total Payable</t>
        </is>
      </c>
      <c r="H157" t="n">
        <v>3000</v>
      </c>
      <c r="I157" s="21" t="n">
        <v>97000</v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6.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20.25" customHeight="1">
      <c r="A159" s="21" t="inlineStr">
        <is>
          <t>Name</t>
        </is>
      </c>
      <c r="B159" s="21" t="inlineStr">
        <is>
          <t>HARISINGHJI</t>
        </is>
      </c>
      <c r="C159" s="21" t="inlineStr">
        <is>
          <t>RAMARAM</t>
        </is>
      </c>
      <c r="D159" s="21" t="inlineStr">
        <is>
          <t>2026-01-15</t>
        </is>
      </c>
      <c r="E159" s="2" t="n"/>
      <c r="F159" s="21" t="inlineStr">
        <is>
          <t>Name</t>
        </is>
      </c>
      <c r="G159" s="21" t="inlineStr">
        <is>
          <t>MANGILALJI</t>
        </is>
      </c>
      <c r="H159" s="21" t="inlineStr">
        <is>
          <t>MALLAPUR</t>
        </is>
      </c>
      <c r="I159" s="21" t="inlineStr">
        <is>
          <t>2026-01-15</t>
        </is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20.25" customHeight="1">
      <c r="A160" s="21" t="inlineStr">
        <is>
          <t>Month</t>
        </is>
      </c>
      <c r="B160" s="21" t="inlineStr">
        <is>
          <t>Plan</t>
        </is>
      </c>
      <c r="C160" s="21" t="inlineStr">
        <is>
          <t>Commission</t>
        </is>
      </c>
      <c r="D160" s="21" t="inlineStr">
        <is>
          <t>Amount</t>
        </is>
      </c>
      <c r="E160" s="2" t="n"/>
      <c r="F160" s="21" t="inlineStr">
        <is>
          <t>Month</t>
        </is>
      </c>
      <c r="G160" s="21" t="inlineStr">
        <is>
          <t>Plan</t>
        </is>
      </c>
      <c r="H160" s="21" t="inlineStr">
        <is>
          <t>Commission</t>
        </is>
      </c>
      <c r="I160" s="21" t="inlineStr">
        <is>
          <t>Amount</t>
        </is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20.25" customHeight="1">
      <c r="A161" s="21" t="n">
        <v>1.1</v>
      </c>
      <c r="B161" s="21" t="n">
        <v>1000000</v>
      </c>
      <c r="C161" s="21" t="n">
        <v>1000</v>
      </c>
      <c r="D161" s="21" t="n">
        <v>49000</v>
      </c>
      <c r="E161" s="2" t="n"/>
      <c r="F161" s="21" t="n">
        <v>1.1</v>
      </c>
      <c r="G161" s="21" t="n">
        <v>1000000</v>
      </c>
      <c r="H161" s="21" t="n">
        <v>1000</v>
      </c>
      <c r="I161" s="21" t="n">
        <v>49000</v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20.25" customHeight="1">
      <c r="A162" s="21" t="n"/>
      <c r="B162" s="21" t="n"/>
      <c r="C162" s="21" t="n"/>
      <c r="D162" s="21" t="n"/>
      <c r="E162" s="2" t="n"/>
      <c r="F162" s="21" t="n"/>
      <c r="G162" s="21" t="n"/>
      <c r="H162" s="21" t="n"/>
      <c r="I162" s="2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20.25" customHeight="1">
      <c r="A163" s="21" t="n"/>
      <c r="B163" s="21" t="n"/>
      <c r="C163" s="21" t="n"/>
      <c r="D163" s="21" t="n"/>
      <c r="E163" s="2" t="n"/>
      <c r="F163" s="21" t="n"/>
      <c r="G163" s="21" t="n"/>
      <c r="H163" s="21" t="n"/>
      <c r="I163" s="2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20.25" customHeight="1">
      <c r="A164" s="21" t="n"/>
      <c r="B164" s="21" t="n"/>
      <c r="C164" s="21" t="n"/>
      <c r="D164" s="21" t="n"/>
      <c r="E164" s="2" t="n"/>
      <c r="F164" s="21" t="n"/>
      <c r="G164" s="21" t="n"/>
      <c r="H164" s="21" t="n"/>
      <c r="I164" s="2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20.25" customHeight="1">
      <c r="A165" s="21" t="n"/>
      <c r="B165" s="21" t="n"/>
      <c r="C165" s="21" t="n"/>
      <c r="D165" s="21" t="n"/>
      <c r="E165" s="2" t="n"/>
      <c r="F165" s="21" t="n"/>
      <c r="G165" s="21" t="n"/>
      <c r="H165" s="21" t="n"/>
      <c r="I165" s="2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20.25" customHeight="1">
      <c r="A166" s="21" t="inlineStr">
        <is>
          <t>Total Payable</t>
        </is>
      </c>
      <c r="B166" s="21" t="n"/>
      <c r="C166" s="21" t="n">
        <v>1000</v>
      </c>
      <c r="D166" s="21" t="n">
        <v>49000</v>
      </c>
      <c r="E166" s="2" t="n"/>
      <c r="F166" s="21" t="inlineStr">
        <is>
          <t>Total Payable</t>
        </is>
      </c>
      <c r="H166" t="n">
        <v>1000</v>
      </c>
      <c r="I166" s="21" t="n">
        <v>49000</v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6.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20.25" customHeight="1">
      <c r="A168" s="21" t="inlineStr">
        <is>
          <t>Name</t>
        </is>
      </c>
      <c r="B168" s="21" t="inlineStr">
        <is>
          <t>BHORARAMJI</t>
        </is>
      </c>
      <c r="C168" s="21" t="inlineStr">
        <is>
          <t>MIYAPUR</t>
        </is>
      </c>
      <c r="D168" s="21" t="inlineStr">
        <is>
          <t>2026-01-15</t>
        </is>
      </c>
      <c r="E168" s="2" t="n"/>
      <c r="F168" s="21" t="inlineStr">
        <is>
          <t>Name</t>
        </is>
      </c>
      <c r="G168" s="21" t="inlineStr">
        <is>
          <t>TARARAMJI</t>
        </is>
      </c>
      <c r="H168" s="21" t="inlineStr">
        <is>
          <t>SURARAM</t>
        </is>
      </c>
      <c r="I168" s="21" t="inlineStr">
        <is>
          <t>2026-01-15</t>
        </is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20.25" customHeight="1">
      <c r="A169" s="21" t="inlineStr">
        <is>
          <t>Month</t>
        </is>
      </c>
      <c r="B169" s="21" t="inlineStr">
        <is>
          <t>Plan</t>
        </is>
      </c>
      <c r="C169" s="21" t="inlineStr">
        <is>
          <t>Commission</t>
        </is>
      </c>
      <c r="D169" s="21" t="inlineStr">
        <is>
          <t>Amount</t>
        </is>
      </c>
      <c r="E169" s="2" t="n"/>
      <c r="F169" s="21" t="inlineStr">
        <is>
          <t>Month</t>
        </is>
      </c>
      <c r="G169" s="21" t="inlineStr">
        <is>
          <t>Plan</t>
        </is>
      </c>
      <c r="H169" s="21" t="inlineStr">
        <is>
          <t>Commission</t>
        </is>
      </c>
      <c r="I169" s="21" t="inlineStr">
        <is>
          <t>Amount</t>
        </is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20.25" customHeight="1">
      <c r="A170" s="21" t="n">
        <v>1.1</v>
      </c>
      <c r="B170" s="21" t="n">
        <v>1000000</v>
      </c>
      <c r="C170" s="21" t="n">
        <v>1000</v>
      </c>
      <c r="D170" s="21" t="n">
        <v>49000</v>
      </c>
      <c r="E170" s="2" t="inlineStr">
        <is>
          <t>.</t>
        </is>
      </c>
      <c r="F170" s="21" t="n">
        <v>1</v>
      </c>
      <c r="G170" s="21" t="n">
        <v>1000000</v>
      </c>
      <c r="H170" s="21" t="n">
        <v>1000</v>
      </c>
      <c r="I170" s="21" t="n">
        <v>49000</v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20.25" customHeight="1">
      <c r="A171" s="21" t="n">
        <v>10</v>
      </c>
      <c r="B171" s="21" t="n">
        <v>1000000</v>
      </c>
      <c r="C171" s="21" t="n">
        <v>1000</v>
      </c>
      <c r="D171" s="21" t="n">
        <v>49000</v>
      </c>
      <c r="E171" s="2" t="n"/>
      <c r="F171" s="21" t="n">
        <v>15</v>
      </c>
      <c r="G171" s="21" t="n">
        <v>500000</v>
      </c>
      <c r="H171" s="21" t="n">
        <v>500</v>
      </c>
      <c r="I171" s="21" t="n">
        <v>24500</v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20.25" customHeight="1">
      <c r="A172" s="21" t="n">
        <v>10</v>
      </c>
      <c r="B172" s="21" t="n">
        <v>1000000</v>
      </c>
      <c r="C172" s="21" t="n">
        <v>1000</v>
      </c>
      <c r="D172" s="21" t="n">
        <v>49000</v>
      </c>
      <c r="E172" s="2" t="n"/>
      <c r="F172" s="21" t="n"/>
      <c r="G172" s="21" t="n"/>
      <c r="H172" s="21" t="n"/>
      <c r="I172" s="2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20.25" customHeight="1">
      <c r="A173" s="21" t="n"/>
      <c r="B173" s="21" t="n"/>
      <c r="C173" s="21" t="n"/>
      <c r="D173" s="21" t="n"/>
      <c r="E173" s="2" t="n"/>
      <c r="F173" s="21" t="n"/>
      <c r="G173" s="21" t="n"/>
      <c r="H173" s="21" t="n"/>
      <c r="I173" s="2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20.25" customHeight="1">
      <c r="A174" s="21" t="n"/>
      <c r="B174" s="21" t="n"/>
      <c r="C174" s="21" t="n"/>
      <c r="D174" s="21" t="n"/>
      <c r="E174" s="2" t="n"/>
      <c r="F174" s="21" t="n"/>
      <c r="G174" s="21" t="n"/>
      <c r="H174" s="21" t="n"/>
      <c r="I174" s="2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20.25" customHeight="1">
      <c r="A175" s="21" t="inlineStr">
        <is>
          <t>Total Payable</t>
        </is>
      </c>
      <c r="B175" s="21" t="n"/>
      <c r="C175" s="21" t="n">
        <v>3000</v>
      </c>
      <c r="D175" s="21" t="n">
        <v>147000</v>
      </c>
      <c r="E175" s="2" t="n"/>
      <c r="F175" s="21" t="inlineStr">
        <is>
          <t>Total Payable</t>
        </is>
      </c>
      <c r="H175" t="n">
        <v>1500</v>
      </c>
      <c r="I175" s="21" t="n">
        <v>73500</v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6.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20.25" customHeight="1">
      <c r="A177" s="21" t="inlineStr">
        <is>
          <t>Name</t>
        </is>
      </c>
      <c r="B177" s="21" t="inlineStr">
        <is>
          <t>MADARAMJI</t>
        </is>
      </c>
      <c r="C177" s="21" t="inlineStr">
        <is>
          <t>SHAPUR</t>
        </is>
      </c>
      <c r="D177" s="21" t="inlineStr">
        <is>
          <t>2026-01-15</t>
        </is>
      </c>
      <c r="E177" s="2" t="n"/>
      <c r="F177" s="21" t="inlineStr">
        <is>
          <t>Name</t>
        </is>
      </c>
      <c r="G177" s="21" t="inlineStr">
        <is>
          <t>KUKARAMJI</t>
        </is>
      </c>
      <c r="H177" s="21" t="inlineStr">
        <is>
          <t>J GUTTA</t>
        </is>
      </c>
      <c r="I177" s="21" t="inlineStr">
        <is>
          <t>2026-01-15</t>
        </is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20.25" customHeight="1">
      <c r="A178" s="21" t="inlineStr">
        <is>
          <t>Month</t>
        </is>
      </c>
      <c r="B178" s="21" t="inlineStr">
        <is>
          <t>Plan</t>
        </is>
      </c>
      <c r="C178" s="21" t="inlineStr">
        <is>
          <t>Commission</t>
        </is>
      </c>
      <c r="D178" s="21" t="inlineStr">
        <is>
          <t>Amount</t>
        </is>
      </c>
      <c r="E178" s="2" t="n"/>
      <c r="F178" s="21" t="inlineStr">
        <is>
          <t>Month</t>
        </is>
      </c>
      <c r="G178" s="21" t="inlineStr">
        <is>
          <t>Plan</t>
        </is>
      </c>
      <c r="H178" s="21" t="inlineStr">
        <is>
          <t>Commission</t>
        </is>
      </c>
      <c r="I178" s="21" t="inlineStr">
        <is>
          <t>Amount</t>
        </is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20.25" customHeight="1">
      <c r="A179" s="21" t="n">
        <v>10</v>
      </c>
      <c r="B179" s="21" t="n">
        <v>2000000</v>
      </c>
      <c r="C179" s="21" t="n">
        <v>1000</v>
      </c>
      <c r="D179" s="21" t="n">
        <v>99000</v>
      </c>
      <c r="E179" s="2" t="n"/>
      <c r="F179" s="21" t="n">
        <v>1.1</v>
      </c>
      <c r="G179" s="21" t="n">
        <v>1000000</v>
      </c>
      <c r="H179" s="21" t="n">
        <v>1000</v>
      </c>
      <c r="I179" s="21" t="n">
        <v>49000</v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20.25" customHeight="1">
      <c r="A180" s="21" t="n">
        <v>18</v>
      </c>
      <c r="B180" s="21" t="n">
        <v>500000</v>
      </c>
      <c r="C180" s="21" t="n">
        <v>1000</v>
      </c>
      <c r="D180" s="21" t="n">
        <v>24000</v>
      </c>
      <c r="E180" s="2" t="n"/>
      <c r="F180" s="21" t="n"/>
      <c r="G180" s="21" t="n"/>
      <c r="H180" s="21" t="n"/>
      <c r="I180" s="2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20.25" customHeight="1">
      <c r="A181" s="21" t="n"/>
      <c r="B181" s="21" t="n"/>
      <c r="C181" s="21" t="n"/>
      <c r="D181" s="21" t="n"/>
      <c r="E181" s="2" t="n"/>
      <c r="F181" s="21" t="n"/>
      <c r="G181" s="21" t="n"/>
      <c r="H181" s="21" t="n"/>
      <c r="I181" s="2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20.25" customHeight="1">
      <c r="A182" s="21" t="n"/>
      <c r="B182" s="21" t="n"/>
      <c r="C182" s="21" t="n"/>
      <c r="D182" s="21" t="n"/>
      <c r="E182" s="2" t="n"/>
      <c r="F182" s="21" t="n"/>
      <c r="G182" s="21" t="n"/>
      <c r="H182" s="21" t="n"/>
      <c r="I182" s="2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20.25" customHeight="1">
      <c r="A183" s="21" t="n"/>
      <c r="B183" s="21" t="n"/>
      <c r="C183" s="21" t="n"/>
      <c r="D183" s="21" t="n"/>
      <c r="E183" s="2" t="n"/>
      <c r="F183" s="21" t="n"/>
      <c r="G183" s="21" t="n"/>
      <c r="H183" s="21" t="n"/>
      <c r="I183" s="2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20.25" customHeight="1">
      <c r="A184" s="21" t="inlineStr">
        <is>
          <t>Total Payable</t>
        </is>
      </c>
      <c r="B184" s="21" t="n"/>
      <c r="C184" s="21" t="n">
        <v>2000</v>
      </c>
      <c r="D184" s="21" t="n">
        <v>123000</v>
      </c>
      <c r="E184" s="2" t="n"/>
      <c r="F184" s="21" t="inlineStr">
        <is>
          <t>Total Payable</t>
        </is>
      </c>
      <c r="H184" t="n">
        <v>1000</v>
      </c>
      <c r="I184" s="21" t="n">
        <v>49000</v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6.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20.25" customHeight="1">
      <c r="A186" s="14" t="inlineStr">
        <is>
          <t>NAME</t>
        </is>
      </c>
      <c r="B186" s="14" t="inlineStr">
        <is>
          <t>GENARAMJI</t>
        </is>
      </c>
      <c r="C186" s="14" t="inlineStr">
        <is>
          <t>J GUTTA</t>
        </is>
      </c>
      <c r="D186" s="21" t="inlineStr">
        <is>
          <t>2026-01-15</t>
        </is>
      </c>
      <c r="E186" s="2" t="n"/>
      <c r="F186" s="21" t="inlineStr">
        <is>
          <t>Name</t>
        </is>
      </c>
      <c r="G186" s="21" t="inlineStr">
        <is>
          <t>NARENDRAJI</t>
        </is>
      </c>
      <c r="H186" s="21" t="inlineStr">
        <is>
          <t>SACHINJI</t>
        </is>
      </c>
      <c r="I186" s="21" t="inlineStr">
        <is>
          <t>2026-01-15</t>
        </is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20.25" customHeight="1">
      <c r="A187" s="21" t="inlineStr">
        <is>
          <t>MONTH</t>
        </is>
      </c>
      <c r="B187" s="21" t="inlineStr">
        <is>
          <t>PLAN</t>
        </is>
      </c>
      <c r="C187" s="21" t="inlineStr">
        <is>
          <t>C MMISSION</t>
        </is>
      </c>
      <c r="D187" s="21" t="inlineStr">
        <is>
          <t>Amount</t>
        </is>
      </c>
      <c r="E187" s="2" t="n"/>
      <c r="F187" s="21" t="inlineStr">
        <is>
          <t>Month</t>
        </is>
      </c>
      <c r="G187" s="21" t="inlineStr">
        <is>
          <t>Plan</t>
        </is>
      </c>
      <c r="H187" s="21" t="inlineStr">
        <is>
          <t>Commission</t>
        </is>
      </c>
      <c r="I187" s="21" t="inlineStr">
        <is>
          <t>Amount</t>
        </is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20.25" customHeight="1">
      <c r="A188" s="21" t="n">
        <v>5</v>
      </c>
      <c r="B188" s="21" t="n">
        <v>1000000</v>
      </c>
      <c r="C188" s="21" t="n">
        <v>1000</v>
      </c>
      <c r="D188" s="21" t="n">
        <v>49000</v>
      </c>
      <c r="E188" s="2" t="n"/>
      <c r="F188" s="21" t="n">
        <v>1.1</v>
      </c>
      <c r="G188" s="21" t="n">
        <v>500000</v>
      </c>
      <c r="H188" s="21" t="n">
        <v>1000</v>
      </c>
      <c r="I188" s="21" t="n">
        <v>24000</v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20.25" customHeight="1">
      <c r="A189" s="21" t="n">
        <v>1.1</v>
      </c>
      <c r="B189" s="21" t="n">
        <v>1000000</v>
      </c>
      <c r="C189" s="21" t="n">
        <v>1000</v>
      </c>
      <c r="D189" s="21" t="n">
        <v>49000</v>
      </c>
      <c r="E189" s="2" t="n"/>
      <c r="F189" s="21" t="n"/>
      <c r="G189" s="21" t="n"/>
      <c r="H189" s="21" t="n"/>
      <c r="I189" s="2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20.25" customHeight="1">
      <c r="A190" s="21" t="n"/>
      <c r="B190" s="21" t="n"/>
      <c r="C190" s="21" t="n"/>
      <c r="D190" s="21" t="n"/>
      <c r="E190" s="2" t="n"/>
      <c r="F190" s="21" t="n"/>
      <c r="G190" s="21" t="n"/>
      <c r="H190" s="21" t="n"/>
      <c r="I190" s="2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20.25" customHeight="1">
      <c r="A191" s="21" t="n"/>
      <c r="B191" s="21" t="n"/>
      <c r="C191" s="21" t="n"/>
      <c r="D191" s="21" t="n"/>
      <c r="E191" s="2" t="n"/>
      <c r="F191" s="21" t="n"/>
      <c r="G191" s="21" t="n"/>
      <c r="H191" s="21" t="n"/>
      <c r="I191" s="2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20.25" customHeight="1">
      <c r="A192" s="21" t="n"/>
      <c r="B192" s="21" t="n"/>
      <c r="C192" s="21" t="n"/>
      <c r="D192" s="21" t="n"/>
      <c r="E192" s="2" t="n"/>
      <c r="F192" s="21" t="n"/>
      <c r="G192" s="21" t="n"/>
      <c r="H192" s="21" t="n"/>
      <c r="I192" s="2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20.25" customHeight="1">
      <c r="A193" s="21" t="inlineStr">
        <is>
          <t>Total Payable</t>
        </is>
      </c>
      <c r="B193" s="21" t="n"/>
      <c r="C193" s="21" t="n">
        <v>2000</v>
      </c>
      <c r="D193" s="21" t="n">
        <v>98000</v>
      </c>
      <c r="E193" s="2" t="n"/>
      <c r="F193" s="21" t="inlineStr">
        <is>
          <t>Total Payable</t>
        </is>
      </c>
      <c r="H193" t="n">
        <v>1000</v>
      </c>
      <c r="I193" s="21" t="n">
        <v>24000</v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6.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20.25" customHeight="1">
      <c r="A195" s="21" t="inlineStr">
        <is>
          <t>Name</t>
        </is>
      </c>
      <c r="B195" s="21" t="inlineStr">
        <is>
          <t>HONARAMJI</t>
        </is>
      </c>
      <c r="C195" s="21" t="inlineStr">
        <is>
          <t>RAMARAM</t>
        </is>
      </c>
      <c r="D195" s="21" t="inlineStr">
        <is>
          <t>2026-01-15</t>
        </is>
      </c>
      <c r="E195" s="2" t="n"/>
      <c r="F195" s="21" t="inlineStr">
        <is>
          <t>Name</t>
        </is>
      </c>
      <c r="G195" s="21" t="inlineStr">
        <is>
          <t>MEHNDARJI</t>
        </is>
      </c>
      <c r="H195" s="21" t="inlineStr">
        <is>
          <t>SR NGR</t>
        </is>
      </c>
      <c r="I195" s="21" t="inlineStr">
        <is>
          <t>2026-01-15</t>
        </is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20.25" customHeight="1">
      <c r="A196" s="21" t="inlineStr">
        <is>
          <t>Month</t>
        </is>
      </c>
      <c r="B196" s="21" t="inlineStr">
        <is>
          <t>Plan</t>
        </is>
      </c>
      <c r="C196" s="21" t="inlineStr">
        <is>
          <t>Commission</t>
        </is>
      </c>
      <c r="D196" s="21" t="inlineStr">
        <is>
          <t>Amount</t>
        </is>
      </c>
      <c r="E196" s="2" t="n"/>
      <c r="F196" s="21" t="inlineStr">
        <is>
          <t>Month</t>
        </is>
      </c>
      <c r="G196" s="21" t="inlineStr">
        <is>
          <t>Plan</t>
        </is>
      </c>
      <c r="H196" s="21" t="inlineStr">
        <is>
          <t>Commission</t>
        </is>
      </c>
      <c r="I196" s="21" t="inlineStr">
        <is>
          <t>Amount</t>
        </is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20.25" customHeight="1">
      <c r="A197" s="21" t="n">
        <v>1.1</v>
      </c>
      <c r="B197" s="21" t="n">
        <v>1000000</v>
      </c>
      <c r="C197" s="21" t="n">
        <v>1000</v>
      </c>
      <c r="D197" s="21" t="n">
        <v>49000</v>
      </c>
      <c r="E197" s="2" t="n"/>
      <c r="F197" s="21" t="n">
        <v>1</v>
      </c>
      <c r="G197" s="21" t="n">
        <v>1000000</v>
      </c>
      <c r="H197" s="21" t="n">
        <v>1000</v>
      </c>
      <c r="I197" s="21" t="n">
        <v>49000</v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20.25" customHeight="1">
      <c r="A198" s="21" t="n">
        <v>10</v>
      </c>
      <c r="B198" s="21" t="n">
        <v>1000000</v>
      </c>
      <c r="C198" s="21" t="n">
        <v>1000</v>
      </c>
      <c r="D198" s="21" t="n">
        <v>49000</v>
      </c>
      <c r="E198" s="2" t="n"/>
      <c r="F198" s="21" t="n"/>
      <c r="G198" s="21" t="n"/>
      <c r="H198" s="21" t="n"/>
      <c r="I198" s="2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20.25" customHeight="1">
      <c r="A199" s="21" t="n"/>
      <c r="B199" s="21" t="n"/>
      <c r="C199" s="21" t="n"/>
      <c r="D199" s="21" t="n"/>
      <c r="E199" s="2" t="n"/>
      <c r="F199" s="21" t="n"/>
      <c r="G199" s="21" t="n"/>
      <c r="H199" s="21" t="n"/>
      <c r="I199" s="2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20.25" customHeight="1">
      <c r="A200" s="21" t="n"/>
      <c r="B200" s="21" t="n"/>
      <c r="C200" s="21" t="n"/>
      <c r="D200" s="21" t="n"/>
      <c r="E200" s="2" t="n"/>
      <c r="F200" s="21" t="n"/>
      <c r="G200" s="21" t="n"/>
      <c r="H200" s="21" t="n"/>
      <c r="I200" s="2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0.25" customHeight="1">
      <c r="A201" s="21" t="n"/>
      <c r="B201" s="21" t="n"/>
      <c r="C201" s="21" t="n"/>
      <c r="D201" s="21" t="n"/>
      <c r="E201" s="2" t="n"/>
      <c r="F201" s="21" t="n"/>
      <c r="G201" s="21" t="n"/>
      <c r="H201" s="21" t="n"/>
      <c r="I201" s="2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20.25" customHeight="1">
      <c r="A202" s="21" t="inlineStr">
        <is>
          <t>Total Payable</t>
        </is>
      </c>
      <c r="B202" s="21" t="n"/>
      <c r="C202" s="21" t="n">
        <v>2000</v>
      </c>
      <c r="D202" s="21" t="n">
        <v>98000</v>
      </c>
      <c r="E202" s="2" t="n"/>
      <c r="F202" s="21" t="inlineStr">
        <is>
          <t>Total Payable</t>
        </is>
      </c>
      <c r="H202" t="n">
        <v>1000</v>
      </c>
      <c r="I202" s="21" t="n">
        <v>49000</v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6.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20.25" customHeight="1">
      <c r="A204" s="14" t="inlineStr">
        <is>
          <t>NAME</t>
        </is>
      </c>
      <c r="B204" s="14" t="inlineStr">
        <is>
          <t>KAILASHJI</t>
        </is>
      </c>
      <c r="C204" s="14" t="inlineStr">
        <is>
          <t>SHIVAMPET</t>
        </is>
      </c>
      <c r="D204" s="21" t="inlineStr">
        <is>
          <t>2026-01-15</t>
        </is>
      </c>
      <c r="F204" s="14" t="inlineStr">
        <is>
          <t>NAME</t>
        </is>
      </c>
      <c r="G204" s="14" t="inlineStr">
        <is>
          <t>SOHANJI GUJAR</t>
        </is>
      </c>
      <c r="H204" s="14" t="inlineStr">
        <is>
          <t>R R NGR</t>
        </is>
      </c>
      <c r="I204" s="21" t="inlineStr">
        <is>
          <t>2026-01-15</t>
        </is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20.25" customHeight="1">
      <c r="A205" s="21" t="inlineStr">
        <is>
          <t>Month</t>
        </is>
      </c>
      <c r="B205" s="21" t="inlineStr">
        <is>
          <t>Plan</t>
        </is>
      </c>
      <c r="C205" s="21" t="inlineStr">
        <is>
          <t>Commission</t>
        </is>
      </c>
      <c r="D205" s="21" t="inlineStr">
        <is>
          <t>Amount</t>
        </is>
      </c>
      <c r="F205" s="21" t="inlineStr">
        <is>
          <t>Month</t>
        </is>
      </c>
      <c r="G205" s="21" t="inlineStr">
        <is>
          <t>PLAN</t>
        </is>
      </c>
      <c r="H205" s="21" t="inlineStr">
        <is>
          <t>Commission</t>
        </is>
      </c>
      <c r="I205" s="21" t="inlineStr">
        <is>
          <t>Amount</t>
        </is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20.25" customHeight="1">
      <c r="A206" s="21" t="n">
        <v>1</v>
      </c>
      <c r="B206" s="21" t="n">
        <v>1000000</v>
      </c>
      <c r="C206" s="21" t="n">
        <v>1000</v>
      </c>
      <c r="D206" s="21" t="n">
        <v>49000</v>
      </c>
      <c r="F206" s="21" t="n">
        <v>5.1</v>
      </c>
      <c r="G206" s="21" t="n">
        <v>1000000</v>
      </c>
      <c r="H206" s="21" t="n">
        <v>1000</v>
      </c>
      <c r="I206" s="21" t="n">
        <v>49000</v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20.25" customHeight="1">
      <c r="A207" s="21" t="n">
        <v>1.1</v>
      </c>
      <c r="B207" s="21" t="n">
        <v>1000000</v>
      </c>
      <c r="C207" s="21" t="n">
        <v>1000</v>
      </c>
      <c r="D207" s="21" t="n">
        <v>49000</v>
      </c>
      <c r="F207" s="21" t="n">
        <v>10</v>
      </c>
      <c r="G207" s="21" t="n">
        <v>1000000</v>
      </c>
      <c r="H207" s="21" t="n">
        <v>1000</v>
      </c>
      <c r="I207" s="21" t="n">
        <v>49000</v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20.25" customHeight="1">
      <c r="A208" s="21" t="n"/>
      <c r="B208" s="21" t="n"/>
      <c r="C208" s="21" t="n"/>
      <c r="D208" s="21" t="n"/>
      <c r="E208" s="2" t="n"/>
      <c r="F208" s="21" t="n"/>
      <c r="G208" s="21" t="n"/>
      <c r="H208" s="21" t="n"/>
      <c r="I208" s="2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20.25" customHeight="1">
      <c r="A209" s="21" t="n"/>
      <c r="B209" s="21" t="n"/>
      <c r="C209" s="21" t="n"/>
      <c r="D209" s="21" t="n"/>
      <c r="E209" s="2" t="n"/>
      <c r="F209" s="21" t="n"/>
      <c r="G209" s="21" t="n"/>
      <c r="H209" s="21" t="n"/>
      <c r="I209" s="2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20.25" customHeight="1">
      <c r="A210" s="21" t="n"/>
      <c r="B210" s="21" t="n"/>
      <c r="C210" s="21" t="n"/>
      <c r="D210" s="21" t="n"/>
      <c r="E210" s="2" t="n"/>
      <c r="F210" s="21" t="n"/>
      <c r="G210" s="21" t="n"/>
      <c r="H210" s="21" t="n"/>
      <c r="I210" s="2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20.25" customHeight="1">
      <c r="A211" s="21" t="inlineStr">
        <is>
          <t>Total Payable</t>
        </is>
      </c>
      <c r="B211" s="21" t="n"/>
      <c r="C211" s="21" t="n">
        <v>2000</v>
      </c>
      <c r="D211" s="21" t="n">
        <v>98000</v>
      </c>
      <c r="E211" s="2" t="n"/>
      <c r="F211" s="21" t="inlineStr">
        <is>
          <t>Total Payable</t>
        </is>
      </c>
      <c r="H211" t="n">
        <v>2000</v>
      </c>
      <c r="I211" s="21" t="n">
        <v>98000</v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6.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20.25" customHeight="1">
      <c r="A213" s="21" t="n"/>
      <c r="B213" s="21" t="n"/>
      <c r="C213" s="21" t="n"/>
      <c r="D213" s="21" t="n"/>
      <c r="E213" s="2" t="n"/>
      <c r="F213" s="21" t="inlineStr">
        <is>
          <t>Name</t>
        </is>
      </c>
      <c r="G213" s="21" t="inlineStr">
        <is>
          <t>RAMESHJI</t>
        </is>
      </c>
      <c r="H213" s="21" t="inlineStr">
        <is>
          <t>RR NAGAR</t>
        </is>
      </c>
      <c r="I213" s="21" t="inlineStr">
        <is>
          <t>2026-01-15</t>
        </is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20.25" customHeight="1">
      <c r="A214" s="21" t="n"/>
      <c r="B214" s="21" t="n"/>
      <c r="C214" s="21" t="n"/>
      <c r="D214" s="21" t="n"/>
      <c r="E214" s="2" t="n"/>
      <c r="F214" s="21" t="inlineStr">
        <is>
          <t>Month</t>
        </is>
      </c>
      <c r="G214" s="21" t="inlineStr">
        <is>
          <t>Plan</t>
        </is>
      </c>
      <c r="H214" s="21" t="inlineStr">
        <is>
          <t>Commission</t>
        </is>
      </c>
      <c r="I214" s="21" t="inlineStr">
        <is>
          <t>Amount</t>
        </is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20.25" customHeight="1">
      <c r="A215" s="21" t="n"/>
      <c r="B215" s="21" t="n"/>
      <c r="C215" s="21" t="n"/>
      <c r="D215" s="21" t="n"/>
      <c r="E215" s="2" t="n"/>
      <c r="F215" s="21" t="n">
        <v>5</v>
      </c>
      <c r="G215" s="21" t="n">
        <v>500000</v>
      </c>
      <c r="H215" s="21" t="n">
        <v>1000</v>
      </c>
      <c r="I215" s="21" t="n">
        <v>24000</v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20.25" customHeight="1">
      <c r="A216" s="21" t="n"/>
      <c r="B216" s="21" t="n"/>
      <c r="C216" s="21" t="n"/>
      <c r="D216" s="21" t="n"/>
      <c r="E216" s="2" t="n"/>
      <c r="F216" s="21" t="n">
        <v>18</v>
      </c>
      <c r="G216" s="21" t="n">
        <v>500000</v>
      </c>
      <c r="H216" s="21" t="n">
        <v>1000</v>
      </c>
      <c r="I216" s="21" t="n">
        <v>24000</v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20.25" customHeight="1">
      <c r="A217" s="21" t="n"/>
      <c r="B217" s="21" t="n"/>
      <c r="C217" s="21" t="n"/>
      <c r="D217" s="21" t="n"/>
      <c r="E217" s="2" t="n"/>
      <c r="F217" s="21" t="n"/>
      <c r="G217" s="21" t="n"/>
      <c r="H217" s="21" t="n"/>
      <c r="I217" s="21" t="n"/>
      <c r="J217" s="22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20.25" customHeight="1">
      <c r="A218" s="21" t="n"/>
      <c r="B218" s="21" t="n"/>
      <c r="C218" s="21" t="n"/>
      <c r="D218" s="21" t="n"/>
      <c r="E218" s="2" t="n"/>
      <c r="F218" s="21" t="n"/>
      <c r="G218" s="21" t="n"/>
      <c r="H218" s="21" t="n"/>
      <c r="I218" s="2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20.25" customHeight="1">
      <c r="A219" s="21" t="n"/>
      <c r="B219" s="21" t="n"/>
      <c r="C219" s="21" t="n"/>
      <c r="D219" s="21" t="n"/>
      <c r="E219" s="2" t="n"/>
      <c r="F219" s="21" t="n"/>
      <c r="G219" s="21" t="n"/>
      <c r="H219" s="21" t="n"/>
      <c r="I219" s="2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20.25" customHeight="1">
      <c r="A220" s="21" t="n"/>
      <c r="B220" s="21" t="n"/>
      <c r="C220" s="21" t="n"/>
      <c r="D220" s="21" t="n"/>
      <c r="E220" s="2" t="n"/>
      <c r="F220" s="21" t="inlineStr">
        <is>
          <t>Total Payable</t>
        </is>
      </c>
      <c r="H220" t="n">
        <v>2000</v>
      </c>
      <c r="I220" s="21" t="n">
        <v>48000</v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6.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20.25" customHeight="1">
      <c r="A222" s="21" t="inlineStr">
        <is>
          <t>Name</t>
        </is>
      </c>
      <c r="B222" s="21" t="inlineStr">
        <is>
          <t>GENARAMJI</t>
        </is>
      </c>
      <c r="C222" s="21" t="inlineStr">
        <is>
          <t>RAMARAM</t>
        </is>
      </c>
      <c r="D222" s="21" t="inlineStr">
        <is>
          <t>2026-01-15</t>
        </is>
      </c>
      <c r="E222" s="2" t="n"/>
      <c r="F222" s="21" t="inlineStr">
        <is>
          <t>Name</t>
        </is>
      </c>
      <c r="G222" s="21" t="inlineStr">
        <is>
          <t>JAGDISHJI</t>
        </is>
      </c>
      <c r="H222" s="21" t="inlineStr">
        <is>
          <t>PPR NGR</t>
        </is>
      </c>
      <c r="I222" s="21" t="inlineStr">
        <is>
          <t>2026-01-15</t>
        </is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20.25" customHeight="1">
      <c r="A223" s="21" t="inlineStr">
        <is>
          <t>Month</t>
        </is>
      </c>
      <c r="B223" s="21" t="inlineStr">
        <is>
          <t>Plan</t>
        </is>
      </c>
      <c r="C223" s="21" t="inlineStr">
        <is>
          <t>Commission</t>
        </is>
      </c>
      <c r="D223" s="21" t="inlineStr">
        <is>
          <t>Amount</t>
        </is>
      </c>
      <c r="E223" s="2" t="n"/>
      <c r="F223" s="21" t="inlineStr">
        <is>
          <t>Month</t>
        </is>
      </c>
      <c r="G223" s="21" t="inlineStr">
        <is>
          <t>Plan</t>
        </is>
      </c>
      <c r="H223" s="21" t="inlineStr">
        <is>
          <t>Commission</t>
        </is>
      </c>
      <c r="I223" s="21" t="inlineStr">
        <is>
          <t>Amount</t>
        </is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20.25" customHeight="1">
      <c r="A224" s="21" t="n">
        <v>15</v>
      </c>
      <c r="B224" s="21" t="n">
        <v>500000</v>
      </c>
      <c r="C224" s="21" t="n">
        <v>500</v>
      </c>
      <c r="D224" s="21" t="n">
        <v>24500</v>
      </c>
      <c r="E224" s="2" t="n"/>
      <c r="F224" s="21" t="n">
        <v>15</v>
      </c>
      <c r="G224" s="21" t="n">
        <v>500000</v>
      </c>
      <c r="H224" s="21" t="n">
        <v>500</v>
      </c>
      <c r="I224" s="21" t="n">
        <v>24500</v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20.25" customHeight="1">
      <c r="A225" s="21" t="n"/>
      <c r="B225" s="21" t="n"/>
      <c r="C225" s="21" t="n"/>
      <c r="D225" s="21" t="n"/>
      <c r="E225" s="2" t="n"/>
      <c r="F225" s="21" t="n"/>
      <c r="G225" s="21" t="n"/>
      <c r="H225" s="21" t="n"/>
      <c r="I225" s="2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20.25" customHeight="1">
      <c r="A226" s="21" t="n"/>
      <c r="B226" s="21" t="n"/>
      <c r="C226" s="21" t="n"/>
      <c r="D226" s="21" t="n"/>
      <c r="E226" s="2" t="n"/>
      <c r="F226" s="21" t="n"/>
      <c r="G226" s="21" t="n"/>
      <c r="H226" s="21" t="n"/>
      <c r="I226" s="2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20.25" customHeight="1">
      <c r="A227" s="21" t="n"/>
      <c r="B227" s="21" t="n"/>
      <c r="C227" s="21" t="n"/>
      <c r="D227" s="21" t="n"/>
      <c r="E227" s="2" t="n"/>
      <c r="F227" s="21" t="n"/>
      <c r="G227" s="21" t="n"/>
      <c r="H227" s="21" t="n"/>
      <c r="I227" s="2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20.25" customHeight="1">
      <c r="A228" s="21" t="n"/>
      <c r="B228" s="21" t="n"/>
      <c r="C228" s="21" t="n"/>
      <c r="D228" s="21" t="n"/>
      <c r="E228" s="2" t="n"/>
      <c r="F228" s="21" t="n"/>
      <c r="G228" s="21" t="n"/>
      <c r="H228" s="21" t="n"/>
      <c r="I228" s="2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20.25" customHeight="1">
      <c r="A229" s="21" t="inlineStr">
        <is>
          <t>Total Payable</t>
        </is>
      </c>
      <c r="B229" s="21" t="n"/>
      <c r="C229" s="21" t="n">
        <v>500</v>
      </c>
      <c r="D229" s="21" t="n">
        <v>24500</v>
      </c>
      <c r="E229" s="2" t="n"/>
      <c r="F229" s="21" t="inlineStr">
        <is>
          <t>Total Payable</t>
        </is>
      </c>
      <c r="H229" t="n">
        <v>500</v>
      </c>
      <c r="I229" s="21" t="n">
        <v>24500</v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6.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20.25" customHeight="1">
      <c r="A231" s="21" t="inlineStr">
        <is>
          <t>Name</t>
        </is>
      </c>
      <c r="B231" s="21" t="inlineStr">
        <is>
          <t>BHUNDARAMJI</t>
        </is>
      </c>
      <c r="C231" s="21" t="inlineStr">
        <is>
          <t>PRAGTI NGR</t>
        </is>
      </c>
      <c r="D231" s="21" t="inlineStr">
        <is>
          <t>2026-01-15</t>
        </is>
      </c>
      <c r="E231" s="2" t="n"/>
      <c r="F231" s="21" t="inlineStr">
        <is>
          <t>Name</t>
        </is>
      </c>
      <c r="G231" s="21" t="inlineStr">
        <is>
          <t>JOGARAMJI</t>
        </is>
      </c>
      <c r="H231" s="21" t="inlineStr">
        <is>
          <t>KU PALLY</t>
        </is>
      </c>
      <c r="I231" s="21" t="inlineStr">
        <is>
          <t>2026-01-15</t>
        </is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20.25" customHeight="1">
      <c r="A232" s="21" t="inlineStr">
        <is>
          <t>Month</t>
        </is>
      </c>
      <c r="B232" s="21" t="inlineStr">
        <is>
          <t>Plan</t>
        </is>
      </c>
      <c r="C232" s="21" t="inlineStr">
        <is>
          <t>Commission</t>
        </is>
      </c>
      <c r="D232" s="21" t="inlineStr">
        <is>
          <t>Amount</t>
        </is>
      </c>
      <c r="E232" s="2" t="n"/>
      <c r="F232" s="21" t="inlineStr">
        <is>
          <t>Month</t>
        </is>
      </c>
      <c r="G232" s="21" t="inlineStr">
        <is>
          <t>Plan</t>
        </is>
      </c>
      <c r="H232" s="21" t="inlineStr">
        <is>
          <t>Commission</t>
        </is>
      </c>
      <c r="I232" s="21" t="inlineStr">
        <is>
          <t>Amount</t>
        </is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20.25" customHeight="1">
      <c r="A233" s="21" t="n">
        <v>10</v>
      </c>
      <c r="B233" s="21" t="n">
        <v>500000</v>
      </c>
      <c r="C233" s="21" t="n">
        <v>1000</v>
      </c>
      <c r="D233" s="21" t="n">
        <v>24000</v>
      </c>
      <c r="E233" s="2" t="n"/>
      <c r="F233" s="21" t="n">
        <v>10</v>
      </c>
      <c r="G233" s="21" t="n">
        <v>2000000</v>
      </c>
      <c r="H233" s="21" t="n">
        <v>1000</v>
      </c>
      <c r="I233" s="21" t="n">
        <v>99000</v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20.25" customHeight="1">
      <c r="A234" s="21" t="n"/>
      <c r="B234" s="21" t="n"/>
      <c r="C234" s="21" t="n"/>
      <c r="D234" s="21" t="n"/>
      <c r="E234" s="2" t="n"/>
      <c r="F234" s="21" t="n"/>
      <c r="G234" s="21" t="n"/>
      <c r="H234" s="21" t="n"/>
      <c r="I234" s="2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20.25" customHeight="1">
      <c r="A235" s="21" t="n"/>
      <c r="B235" s="21" t="n"/>
      <c r="C235" s="21" t="n"/>
      <c r="D235" s="21" t="n"/>
      <c r="E235" s="2" t="n"/>
      <c r="F235" s="21" t="n"/>
      <c r="G235" s="21" t="n"/>
      <c r="H235" s="21" t="n"/>
      <c r="I235" s="2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20.25" customHeight="1">
      <c r="A236" s="21" t="n"/>
      <c r="B236" s="21" t="n"/>
      <c r="C236" s="21" t="n"/>
      <c r="D236" s="21" t="n"/>
      <c r="E236" s="2" t="n"/>
      <c r="F236" s="21" t="n"/>
      <c r="G236" s="21" t="n"/>
      <c r="H236" s="21" t="n"/>
      <c r="I236" s="2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20.25" customHeight="1">
      <c r="A237" s="21" t="n"/>
      <c r="B237" s="21" t="n"/>
      <c r="C237" s="21" t="n"/>
      <c r="D237" s="21" t="n"/>
      <c r="E237" s="2" t="n"/>
      <c r="F237" s="21" t="n"/>
      <c r="G237" s="21" t="n"/>
      <c r="H237" s="21" t="n"/>
      <c r="I237" s="2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20.25" customHeight="1">
      <c r="A238" s="21" t="inlineStr">
        <is>
          <t>Total Payable</t>
        </is>
      </c>
      <c r="B238" s="21" t="n"/>
      <c r="C238" s="21" t="n">
        <v>1000</v>
      </c>
      <c r="D238" s="21" t="n">
        <v>24000</v>
      </c>
      <c r="E238" s="2" t="n"/>
      <c r="F238" s="21" t="inlineStr">
        <is>
          <t>Total Payable</t>
        </is>
      </c>
      <c r="H238" t="n">
        <v>1000</v>
      </c>
      <c r="I238" s="21" t="n">
        <v>99000</v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6.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20.25" customHeight="1">
      <c r="A240" s="21" t="inlineStr">
        <is>
          <t>Name</t>
        </is>
      </c>
      <c r="B240" s="21" t="inlineStr">
        <is>
          <t>RAMESHJI</t>
        </is>
      </c>
      <c r="C240" s="21" t="inlineStr">
        <is>
          <t>KONDAPUR</t>
        </is>
      </c>
      <c r="D240" s="21" t="inlineStr">
        <is>
          <t>2026-01-15</t>
        </is>
      </c>
      <c r="E240" s="2" t="n"/>
      <c r="F240" s="21" t="inlineStr">
        <is>
          <t>Name</t>
        </is>
      </c>
      <c r="G240" s="21" t="inlineStr">
        <is>
          <t>MANOHARJI</t>
        </is>
      </c>
      <c r="H240" s="21" t="inlineStr">
        <is>
          <t>PAPI REDDY</t>
        </is>
      </c>
      <c r="I240" s="21" t="inlineStr">
        <is>
          <t>2026-01-15</t>
        </is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20.25" customHeight="1">
      <c r="A241" s="21" t="inlineStr">
        <is>
          <t>Month</t>
        </is>
      </c>
      <c r="B241" s="21" t="inlineStr">
        <is>
          <t>Plan</t>
        </is>
      </c>
      <c r="C241" s="21" t="inlineStr">
        <is>
          <t>Commission</t>
        </is>
      </c>
      <c r="D241" s="21" t="inlineStr">
        <is>
          <t>Amount</t>
        </is>
      </c>
      <c r="E241" s="2" t="n"/>
      <c r="F241" s="21" t="inlineStr">
        <is>
          <t>Month</t>
        </is>
      </c>
      <c r="G241" s="21" t="inlineStr">
        <is>
          <t>Plan</t>
        </is>
      </c>
      <c r="H241" s="21" t="inlineStr">
        <is>
          <t>Commission</t>
        </is>
      </c>
      <c r="I241" s="21" t="inlineStr">
        <is>
          <t>Amount</t>
        </is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20.25" customHeight="1">
      <c r="A242" s="21" t="n">
        <v>5</v>
      </c>
      <c r="B242" s="21" t="n">
        <v>500000</v>
      </c>
      <c r="C242" s="21" t="n">
        <v>1000</v>
      </c>
      <c r="D242" s="21" t="n">
        <v>24000</v>
      </c>
      <c r="E242" s="2" t="n"/>
      <c r="F242" s="21" t="n">
        <v>5</v>
      </c>
      <c r="G242" s="21" t="n">
        <v>1000000</v>
      </c>
      <c r="H242" s="21" t="n">
        <v>1000</v>
      </c>
      <c r="I242" s="21" t="n">
        <v>49000</v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20.25" customHeight="1">
      <c r="A243" s="21" t="n">
        <v>5</v>
      </c>
      <c r="B243" s="21" t="n">
        <v>500000</v>
      </c>
      <c r="C243" s="21" t="n">
        <v>1000</v>
      </c>
      <c r="D243" s="21" t="n">
        <v>24000</v>
      </c>
      <c r="E243" s="2" t="n"/>
      <c r="F243" s="21" t="n">
        <v>10</v>
      </c>
      <c r="G243" s="21" t="n">
        <v>2000000</v>
      </c>
      <c r="H243" s="21" t="n">
        <v>1000</v>
      </c>
      <c r="I243" s="21" t="n">
        <v>99000</v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20.25" customHeight="1">
      <c r="A244" s="21" t="n"/>
      <c r="B244" s="21" t="n"/>
      <c r="C244" s="21" t="n"/>
      <c r="D244" s="21" t="n"/>
      <c r="E244" s="2" t="n"/>
      <c r="F244" s="21" t="n">
        <v>18</v>
      </c>
      <c r="G244" s="21" t="n">
        <v>500000</v>
      </c>
      <c r="H244" s="21" t="n">
        <v>1000</v>
      </c>
      <c r="I244" s="21" t="n">
        <v>24000</v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20.25" customHeight="1">
      <c r="A245" s="21" t="n"/>
      <c r="B245" s="21" t="n"/>
      <c r="C245" s="21" t="n"/>
      <c r="D245" s="21" t="n"/>
      <c r="E245" s="2" t="n"/>
      <c r="F245" s="21" t="n">
        <v>18</v>
      </c>
      <c r="G245" s="21" t="n">
        <v>500000</v>
      </c>
      <c r="H245" s="21" t="n">
        <v>1000</v>
      </c>
      <c r="I245" s="21" t="n">
        <v>24000</v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20.25" customHeight="1">
      <c r="A246" s="21" t="n"/>
      <c r="B246" s="21" t="n"/>
      <c r="C246" s="21" t="n"/>
      <c r="D246" s="21" t="n"/>
      <c r="E246" s="2" t="n"/>
      <c r="F246" s="21" t="n">
        <v>5.1</v>
      </c>
      <c r="G246" s="21" t="n">
        <v>1000000</v>
      </c>
      <c r="H246" s="21" t="n">
        <v>1000</v>
      </c>
      <c r="I246" s="21" t="n">
        <v>49000</v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20.25" customHeight="1">
      <c r="A247" s="21" t="inlineStr">
        <is>
          <t>Total Payable</t>
        </is>
      </c>
      <c r="B247" s="21" t="n"/>
      <c r="C247" s="21" t="n">
        <v>2000</v>
      </c>
      <c r="D247" s="21" t="n">
        <v>48000</v>
      </c>
      <c r="E247" s="2" t="n"/>
      <c r="F247" s="21" t="inlineStr">
        <is>
          <t>Total Payable</t>
        </is>
      </c>
      <c r="H247" t="n">
        <v>5000</v>
      </c>
      <c r="I247" s="21" t="n">
        <v>245000</v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6.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20.25" customHeight="1">
      <c r="A249" s="21" t="inlineStr">
        <is>
          <t>Name</t>
        </is>
      </c>
      <c r="B249" s="21" t="inlineStr">
        <is>
          <t>OMJI</t>
        </is>
      </c>
      <c r="C249" s="21" t="inlineStr">
        <is>
          <t>IDPL</t>
        </is>
      </c>
      <c r="D249" s="21" t="inlineStr">
        <is>
          <t>2026-01-15</t>
        </is>
      </c>
      <c r="E249" s="2" t="n"/>
      <c r="F249" s="21" t="inlineStr">
        <is>
          <t>Name</t>
        </is>
      </c>
      <c r="G249" s="21" t="inlineStr">
        <is>
          <t>KISHANJI(1)</t>
        </is>
      </c>
      <c r="H249" s="21" t="inlineStr">
        <is>
          <t>KAMMAN</t>
        </is>
      </c>
      <c r="I249" s="21" t="inlineStr">
        <is>
          <t>2026-01-15</t>
        </is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20.25" customHeight="1">
      <c r="A250" s="21" t="inlineStr">
        <is>
          <t>Month</t>
        </is>
      </c>
      <c r="B250" s="21" t="inlineStr">
        <is>
          <t>Plan</t>
        </is>
      </c>
      <c r="C250" s="21" t="inlineStr">
        <is>
          <t>Commission</t>
        </is>
      </c>
      <c r="D250" s="21" t="inlineStr">
        <is>
          <t>Amount</t>
        </is>
      </c>
      <c r="E250" s="2" t="n"/>
      <c r="F250" s="21" t="inlineStr">
        <is>
          <t>Month</t>
        </is>
      </c>
      <c r="G250" s="21" t="inlineStr">
        <is>
          <t>Plan</t>
        </is>
      </c>
      <c r="H250" s="21" t="inlineStr">
        <is>
          <t>Commission</t>
        </is>
      </c>
      <c r="I250" s="21" t="inlineStr">
        <is>
          <t>Amount</t>
        </is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20.25" customHeight="1">
      <c r="A251" s="21" t="n">
        <v>5</v>
      </c>
      <c r="B251" s="21" t="n">
        <v>1000000</v>
      </c>
      <c r="C251" s="21" t="n">
        <v>1000</v>
      </c>
      <c r="D251" s="21" t="n">
        <v>49000</v>
      </c>
      <c r="E251" s="2" t="n"/>
      <c r="F251" s="21" t="n">
        <v>15</v>
      </c>
      <c r="G251" s="21" t="n">
        <v>500000</v>
      </c>
      <c r="H251" s="21" t="n">
        <v>500</v>
      </c>
      <c r="I251" s="21" t="n">
        <v>24500</v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20.25" customHeight="1">
      <c r="A252" s="21" t="n">
        <v>5.1</v>
      </c>
      <c r="B252" s="21" t="n">
        <v>1000000</v>
      </c>
      <c r="C252" s="21" t="n">
        <v>1000</v>
      </c>
      <c r="D252" s="21" t="n">
        <v>49000</v>
      </c>
      <c r="E252" s="2" t="n"/>
      <c r="F252" s="21" t="n"/>
      <c r="G252" s="21" t="n"/>
      <c r="H252" s="21" t="n"/>
      <c r="I252" s="2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20.25" customHeight="1">
      <c r="A253" s="21" t="n"/>
      <c r="B253" s="21" t="n"/>
      <c r="C253" s="21" t="n"/>
      <c r="D253" s="21" t="n"/>
      <c r="E253" s="2" t="n"/>
      <c r="F253" s="21" t="n"/>
      <c r="G253" s="21" t="n"/>
      <c r="H253" s="21" t="n"/>
      <c r="I253" s="2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20.25" customHeight="1">
      <c r="A254" s="21" t="n"/>
      <c r="B254" s="21" t="n"/>
      <c r="C254" s="21" t="n"/>
      <c r="D254" s="21" t="n"/>
      <c r="E254" s="2" t="n"/>
      <c r="F254" s="21" t="n"/>
      <c r="G254" s="21" t="n"/>
      <c r="H254" s="21" t="n"/>
      <c r="I254" s="2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20.25" customHeight="1">
      <c r="A255" s="21" t="n"/>
      <c r="B255" s="21" t="n"/>
      <c r="C255" s="21" t="n"/>
      <c r="D255" s="21" t="n"/>
      <c r="E255" s="2" t="n"/>
      <c r="F255" s="21" t="n"/>
      <c r="G255" s="21" t="n"/>
      <c r="H255" s="21" t="n"/>
      <c r="I255" s="2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20.25" customHeight="1">
      <c r="A256" s="21" t="inlineStr">
        <is>
          <t>Total Payable</t>
        </is>
      </c>
      <c r="B256" s="21" t="n"/>
      <c r="C256" s="21" t="n">
        <v>2000</v>
      </c>
      <c r="D256" s="21" t="n">
        <v>98000</v>
      </c>
      <c r="E256" s="2" t="n"/>
      <c r="F256" s="21" t="inlineStr">
        <is>
          <t>Total Payable</t>
        </is>
      </c>
      <c r="H256" t="n">
        <v>500</v>
      </c>
      <c r="I256" s="21" t="n">
        <v>24500</v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6.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20.25" customHeight="1">
      <c r="A258" s="21" t="inlineStr">
        <is>
          <t>Name</t>
        </is>
      </c>
      <c r="B258" s="21" t="inlineStr">
        <is>
          <t>HEMARAMJI</t>
        </is>
      </c>
      <c r="C258" s="21" t="inlineStr">
        <is>
          <t>YAMJAL</t>
        </is>
      </c>
      <c r="D258" s="21" t="inlineStr">
        <is>
          <t>2026-01-15</t>
        </is>
      </c>
      <c r="E258" s="2" t="n"/>
      <c r="F258" s="21" t="inlineStr">
        <is>
          <t>Name</t>
        </is>
      </c>
      <c r="G258" s="21" t="inlineStr">
        <is>
          <t>SURENDER</t>
        </is>
      </c>
      <c r="H258" s="21" t="inlineStr">
        <is>
          <t>P R NGR</t>
        </is>
      </c>
      <c r="I258" s="21" t="inlineStr">
        <is>
          <t>2026-01-15</t>
        </is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20.25" customHeight="1">
      <c r="A259" s="21" t="inlineStr">
        <is>
          <t>Month</t>
        </is>
      </c>
      <c r="B259" s="21" t="inlineStr">
        <is>
          <t>Plan</t>
        </is>
      </c>
      <c r="C259" s="21" t="inlineStr">
        <is>
          <t>Commission</t>
        </is>
      </c>
      <c r="D259" s="21" t="inlineStr">
        <is>
          <t>Amount</t>
        </is>
      </c>
      <c r="E259" s="2" t="n"/>
      <c r="F259" s="21" t="inlineStr">
        <is>
          <t>Month</t>
        </is>
      </c>
      <c r="G259" s="21" t="inlineStr">
        <is>
          <t>Plan</t>
        </is>
      </c>
      <c r="H259" s="21" t="inlineStr">
        <is>
          <t>Commission</t>
        </is>
      </c>
      <c r="I259" s="21" t="inlineStr">
        <is>
          <t>Amount</t>
        </is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20.25" customHeight="1">
      <c r="A260" s="21" t="n">
        <v>1</v>
      </c>
      <c r="B260" s="21" t="n">
        <v>500000</v>
      </c>
      <c r="C260" s="21" t="n">
        <v>1000</v>
      </c>
      <c r="D260" s="21" t="n">
        <v>24000</v>
      </c>
      <c r="E260" s="2" t="n"/>
      <c r="F260" s="21" t="n">
        <v>5</v>
      </c>
      <c r="G260" s="21" t="n">
        <v>500000</v>
      </c>
      <c r="H260" s="21" t="n">
        <v>1000</v>
      </c>
      <c r="I260" s="21" t="n">
        <v>24000</v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20.25" customHeight="1">
      <c r="A261" s="21" t="n">
        <v>10</v>
      </c>
      <c r="B261" s="21" t="n">
        <v>1000000</v>
      </c>
      <c r="C261" s="21" t="n">
        <v>1000</v>
      </c>
      <c r="D261" s="21" t="n">
        <v>49000</v>
      </c>
      <c r="E261" s="2" t="n"/>
      <c r="F261" s="21" t="n">
        <v>5</v>
      </c>
      <c r="G261" s="21" t="n">
        <v>500000</v>
      </c>
      <c r="H261" s="21" t="n">
        <v>1000</v>
      </c>
      <c r="I261" s="21" t="n">
        <v>24000</v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20.25" customHeight="1">
      <c r="A262" s="21" t="n"/>
      <c r="B262" s="21" t="n"/>
      <c r="C262" s="21" t="n"/>
      <c r="D262" s="21" t="n"/>
      <c r="E262" s="2" t="n"/>
      <c r="F262" s="21" t="n"/>
      <c r="G262" s="21" t="n"/>
      <c r="H262" s="21" t="n"/>
      <c r="I262" s="2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20.25" customHeight="1">
      <c r="A263" s="21" t="n"/>
      <c r="B263" s="21" t="n"/>
      <c r="C263" s="21" t="n"/>
      <c r="D263" s="21" t="n"/>
      <c r="E263" s="2" t="n"/>
      <c r="F263" s="21" t="n"/>
      <c r="G263" s="21" t="n"/>
      <c r="H263" s="21" t="n"/>
      <c r="I263" s="2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20.25" customHeight="1">
      <c r="A264" s="21" t="n"/>
      <c r="B264" s="21" t="n"/>
      <c r="C264" s="21" t="n"/>
      <c r="D264" s="21" t="n"/>
      <c r="E264" s="2" t="n"/>
      <c r="F264" s="21" t="n"/>
      <c r="G264" s="21" t="n"/>
      <c r="H264" s="21" t="n"/>
      <c r="I264" s="2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20.25" customHeight="1">
      <c r="A265" s="21" t="inlineStr">
        <is>
          <t>Total Payable</t>
        </is>
      </c>
      <c r="B265" s="21" t="n"/>
      <c r="C265" s="21" t="n">
        <v>2000</v>
      </c>
      <c r="D265" s="21" t="n">
        <v>73000</v>
      </c>
      <c r="E265" s="2" t="n"/>
      <c r="F265" s="21" t="inlineStr">
        <is>
          <t>Total Payable</t>
        </is>
      </c>
      <c r="H265" t="n">
        <v>2000</v>
      </c>
      <c r="I265" s="21" t="n">
        <v>48000</v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6.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20.25" customHeight="1">
      <c r="A267" s="21" t="inlineStr">
        <is>
          <t>Name</t>
        </is>
      </c>
      <c r="B267" s="21" t="inlineStr">
        <is>
          <t>DURGARAMJI</t>
        </is>
      </c>
      <c r="C267" s="21" t="inlineStr">
        <is>
          <t>RAMARAM</t>
        </is>
      </c>
      <c r="D267" s="21" t="inlineStr">
        <is>
          <t>2026-01-15</t>
        </is>
      </c>
      <c r="E267" s="2" t="n"/>
      <c r="F267" s="21" t="inlineStr">
        <is>
          <t>Name</t>
        </is>
      </c>
      <c r="G267" s="21" t="inlineStr">
        <is>
          <t>MANGILALJI</t>
        </is>
      </c>
      <c r="H267" s="21" t="inlineStr">
        <is>
          <t>SURARAM</t>
        </is>
      </c>
      <c r="I267" s="21" t="inlineStr">
        <is>
          <t>2026-01-15</t>
        </is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20.25" customHeight="1">
      <c r="A268" s="21" t="inlineStr">
        <is>
          <t>Month</t>
        </is>
      </c>
      <c r="B268" s="21" t="inlineStr">
        <is>
          <t>Plan</t>
        </is>
      </c>
      <c r="C268" s="21" t="inlineStr">
        <is>
          <t>Commission</t>
        </is>
      </c>
      <c r="D268" s="21" t="inlineStr">
        <is>
          <t>Amount</t>
        </is>
      </c>
      <c r="E268" s="2" t="n"/>
      <c r="F268" s="21" t="inlineStr">
        <is>
          <t>Month</t>
        </is>
      </c>
      <c r="G268" s="21" t="inlineStr">
        <is>
          <t>Plan</t>
        </is>
      </c>
      <c r="H268" s="21" t="inlineStr">
        <is>
          <t>Commission</t>
        </is>
      </c>
      <c r="I268" s="21" t="inlineStr">
        <is>
          <t>Amount</t>
        </is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20.25" customHeight="1">
      <c r="A269" s="21" t="n">
        <v>10</v>
      </c>
      <c r="B269" s="21" t="n">
        <v>500000</v>
      </c>
      <c r="C269" s="21" t="n">
        <v>1000</v>
      </c>
      <c r="D269" s="21" t="n">
        <v>24000</v>
      </c>
      <c r="E269" s="2" t="n"/>
      <c r="F269" s="21" t="n">
        <v>10</v>
      </c>
      <c r="G269" s="21" t="n">
        <v>500000</v>
      </c>
      <c r="H269" s="21" t="n">
        <v>1000</v>
      </c>
      <c r="I269" s="21" t="n">
        <v>24000</v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20.25" customHeight="1">
      <c r="A270" s="21" t="n"/>
      <c r="B270" s="21" t="n"/>
      <c r="C270" s="21" t="n"/>
      <c r="D270" s="21" t="n"/>
      <c r="E270" s="2" t="n"/>
      <c r="F270" s="21" t="n"/>
      <c r="G270" s="21" t="n"/>
      <c r="H270" s="21" t="n"/>
      <c r="I270" s="2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20.25" customHeight="1">
      <c r="A271" s="21" t="n"/>
      <c r="B271" s="21" t="n"/>
      <c r="C271" s="21" t="n"/>
      <c r="D271" s="21" t="n"/>
      <c r="E271" s="2" t="n"/>
      <c r="F271" s="21" t="n"/>
      <c r="G271" s="21" t="n"/>
      <c r="H271" s="21" t="n"/>
      <c r="I271" s="2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20.25" customHeight="1">
      <c r="A272" s="21" t="n"/>
      <c r="B272" s="21" t="n"/>
      <c r="C272" s="21" t="n"/>
      <c r="D272" s="21" t="n"/>
      <c r="E272" s="2" t="n"/>
      <c r="F272" s="21" t="n"/>
      <c r="G272" s="21" t="n"/>
      <c r="H272" s="21" t="n"/>
      <c r="I272" s="2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20.25" customHeight="1">
      <c r="A273" s="21" t="n"/>
      <c r="B273" s="21" t="n"/>
      <c r="C273" s="21" t="n"/>
      <c r="D273" s="21" t="n"/>
      <c r="E273" s="2" t="n"/>
      <c r="F273" s="21" t="n"/>
      <c r="G273" s="21" t="n"/>
      <c r="H273" s="21" t="n"/>
      <c r="I273" s="2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20.25" customHeight="1">
      <c r="A274" s="21" t="inlineStr">
        <is>
          <t>Total Payable</t>
        </is>
      </c>
      <c r="B274" s="21" t="n"/>
      <c r="C274" s="21" t="n">
        <v>1000</v>
      </c>
      <c r="D274" s="21" t="n">
        <v>24000</v>
      </c>
      <c r="E274" s="2" t="n"/>
      <c r="F274" s="21" t="inlineStr">
        <is>
          <t>Total Payable</t>
        </is>
      </c>
      <c r="H274" t="n">
        <v>1000</v>
      </c>
      <c r="I274" s="21" t="n">
        <v>24000</v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6.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20.25" customHeight="1">
      <c r="A276" s="21" t="inlineStr">
        <is>
          <t>Name</t>
        </is>
      </c>
      <c r="B276" s="21" t="inlineStr">
        <is>
          <t>DHANARAMJI</t>
        </is>
      </c>
      <c r="C276" s="21" t="inlineStr">
        <is>
          <t>KAMAN</t>
        </is>
      </c>
      <c r="D276" s="21" t="inlineStr">
        <is>
          <t>2026-01-15</t>
        </is>
      </c>
      <c r="E276" s="2" t="n"/>
      <c r="F276" s="21" t="inlineStr">
        <is>
          <t>Name</t>
        </is>
      </c>
      <c r="G276" s="21" t="inlineStr">
        <is>
          <t>NARAYANJI</t>
        </is>
      </c>
      <c r="H276" s="21" t="inlineStr">
        <is>
          <t>KAMAN</t>
        </is>
      </c>
      <c r="I276" s="21" t="inlineStr">
        <is>
          <t>2026-01-15</t>
        </is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20.25" customHeight="1">
      <c r="A277" s="21" t="inlineStr">
        <is>
          <t>Month</t>
        </is>
      </c>
      <c r="B277" s="21" t="inlineStr">
        <is>
          <t>Plan</t>
        </is>
      </c>
      <c r="C277" s="21" t="inlineStr">
        <is>
          <t>Commission</t>
        </is>
      </c>
      <c r="D277" s="21" t="inlineStr">
        <is>
          <t>Amount</t>
        </is>
      </c>
      <c r="E277" s="2" t="n"/>
      <c r="F277" s="21" t="inlineStr">
        <is>
          <t>Month</t>
        </is>
      </c>
      <c r="G277" s="21" t="inlineStr">
        <is>
          <t>Plan</t>
        </is>
      </c>
      <c r="H277" s="21" t="inlineStr">
        <is>
          <t>Commission</t>
        </is>
      </c>
      <c r="I277" s="21" t="inlineStr">
        <is>
          <t>Amount</t>
        </is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20.25" customHeight="1">
      <c r="A278" s="21" t="n">
        <v>10</v>
      </c>
      <c r="B278" s="21" t="n">
        <v>1000000</v>
      </c>
      <c r="C278" s="21" t="n">
        <v>1000</v>
      </c>
      <c r="D278" s="21" t="n">
        <v>49000</v>
      </c>
      <c r="E278" s="2" t="n"/>
      <c r="F278" s="21" t="n">
        <v>10</v>
      </c>
      <c r="G278" s="21" t="n">
        <v>1000000</v>
      </c>
      <c r="H278" s="21" t="n">
        <v>1000</v>
      </c>
      <c r="I278" s="21" t="n">
        <v>49000</v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20.25" customHeight="1">
      <c r="A279" s="21" t="n">
        <v>5</v>
      </c>
      <c r="B279" s="21" t="n">
        <v>1000000</v>
      </c>
      <c r="C279" s="21" t="n">
        <v>1000</v>
      </c>
      <c r="D279" s="21" t="n">
        <v>49000</v>
      </c>
      <c r="E279" s="2" t="n"/>
      <c r="F279" s="21" t="n">
        <v>5</v>
      </c>
      <c r="G279" s="21" t="n">
        <v>500000</v>
      </c>
      <c r="H279" s="21" t="n">
        <v>1000</v>
      </c>
      <c r="I279" s="21" t="n">
        <v>24000</v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20.25" customHeight="1">
      <c r="A280" s="21" t="n"/>
      <c r="B280" s="21" t="n"/>
      <c r="C280" s="21" t="n"/>
      <c r="D280" s="21" t="n"/>
      <c r="E280" s="2" t="n"/>
      <c r="F280" s="21" t="n">
        <v>18</v>
      </c>
      <c r="G280" s="21" t="n">
        <v>500000</v>
      </c>
      <c r="H280" s="21" t="n">
        <v>1000</v>
      </c>
      <c r="I280" s="21" t="n">
        <v>24000</v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20.25" customHeight="1">
      <c r="A281" s="21" t="n"/>
      <c r="B281" s="21" t="n"/>
      <c r="C281" s="21" t="n"/>
      <c r="D281" s="21" t="n"/>
      <c r="E281" s="2" t="n"/>
      <c r="F281" s="21" t="n">
        <v>18</v>
      </c>
      <c r="G281" s="21" t="n">
        <v>500000</v>
      </c>
      <c r="H281" s="21" t="n">
        <v>1000</v>
      </c>
      <c r="I281" s="21" t="n">
        <v>24000</v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20.25" customHeight="1">
      <c r="A282" s="21" t="n"/>
      <c r="B282" s="21" t="n"/>
      <c r="C282" s="21" t="n"/>
      <c r="D282" s="21" t="n"/>
      <c r="E282" s="2" t="n"/>
      <c r="F282" s="21" t="n">
        <v>10</v>
      </c>
      <c r="G282" s="21" t="n">
        <v>1000000</v>
      </c>
      <c r="H282" s="21" t="n">
        <v>1000</v>
      </c>
      <c r="I282" s="21" t="n">
        <v>49000</v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20.25" customHeight="1">
      <c r="A283" s="21" t="n"/>
      <c r="B283" s="21" t="n"/>
      <c r="C283" s="21" t="n"/>
      <c r="D283" s="21" t="n"/>
      <c r="E283" s="2" t="n"/>
      <c r="F283" s="21" t="n">
        <v>15</v>
      </c>
      <c r="G283" s="21" t="n">
        <v>500000</v>
      </c>
      <c r="H283" s="21" t="n">
        <v>500</v>
      </c>
      <c r="I283" s="21" t="n">
        <v>24500</v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20.25" customHeight="1">
      <c r="A284" s="21" t="inlineStr">
        <is>
          <t>Total Payable</t>
        </is>
      </c>
      <c r="B284" s="21" t="n"/>
      <c r="C284" s="21" t="n">
        <v>2000</v>
      </c>
      <c r="D284" s="21" t="n">
        <v>98000</v>
      </c>
      <c r="E284" s="2" t="n"/>
      <c r="F284" s="21" t="inlineStr">
        <is>
          <t>Total Payable</t>
        </is>
      </c>
      <c r="H284" t="n">
        <v>5500</v>
      </c>
      <c r="I284" s="21" t="n">
        <v>194500</v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20.25" customHeight="1">
      <c r="A285" s="21" t="n"/>
      <c r="B285" s="21" t="n"/>
      <c r="C285" s="21" t="n"/>
      <c r="D285" s="21" t="n"/>
      <c r="E285" s="2" t="n"/>
      <c r="F285" s="2" t="n"/>
      <c r="G285" s="2" t="n"/>
      <c r="H285" s="2" t="n"/>
      <c r="I285" s="2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20.25" customHeight="1">
      <c r="A286" s="14" t="inlineStr">
        <is>
          <t>Name</t>
        </is>
      </c>
      <c r="B286" s="14" t="inlineStr">
        <is>
          <t>KHUSHVIRJI</t>
        </is>
      </c>
      <c r="C286" s="14" t="inlineStr">
        <is>
          <t>MEDCHAL</t>
        </is>
      </c>
      <c r="D286" s="21" t="inlineStr">
        <is>
          <t>2026-01-15</t>
        </is>
      </c>
      <c r="E286" s="2" t="n"/>
      <c r="F286" s="21" t="inlineStr">
        <is>
          <t>Name</t>
        </is>
      </c>
      <c r="G286" s="21" t="inlineStr">
        <is>
          <t>MOHANJI</t>
        </is>
      </c>
      <c r="H286" s="21" t="inlineStr">
        <is>
          <t>J GUTTA</t>
        </is>
      </c>
      <c r="I286" s="21" t="inlineStr">
        <is>
          <t>2026-01-15</t>
        </is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20.25" customHeight="1">
      <c r="A287" s="21" t="inlineStr">
        <is>
          <t>Month</t>
        </is>
      </c>
      <c r="B287" s="21" t="inlineStr">
        <is>
          <t>Plan</t>
        </is>
      </c>
      <c r="C287" s="21" t="inlineStr">
        <is>
          <t>Commission</t>
        </is>
      </c>
      <c r="D287" s="21" t="inlineStr">
        <is>
          <t>Amount</t>
        </is>
      </c>
      <c r="E287" s="2" t="n"/>
      <c r="F287" s="21" t="inlineStr">
        <is>
          <t>Month</t>
        </is>
      </c>
      <c r="G287" s="21" t="inlineStr">
        <is>
          <t>Plan</t>
        </is>
      </c>
      <c r="H287" s="21" t="inlineStr">
        <is>
          <t>Commission</t>
        </is>
      </c>
      <c r="I287" s="21" t="inlineStr">
        <is>
          <t>Amount</t>
        </is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20.25" customHeight="1">
      <c r="A288" s="21" t="n">
        <v>10</v>
      </c>
      <c r="B288" s="21" t="n">
        <v>2000000</v>
      </c>
      <c r="C288" s="21" t="n">
        <v>1000</v>
      </c>
      <c r="D288" s="21" t="n">
        <v>99000</v>
      </c>
      <c r="E288" s="2" t="n"/>
      <c r="F288" s="21" t="n">
        <v>10</v>
      </c>
      <c r="G288" s="21" t="n">
        <v>1000000</v>
      </c>
      <c r="H288" s="21" t="n">
        <v>1000</v>
      </c>
      <c r="I288" s="21" t="n">
        <v>49000</v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20.25" customHeight="1">
      <c r="A289" s="21" t="n">
        <v>10</v>
      </c>
      <c r="B289" s="21" t="n">
        <v>500000</v>
      </c>
      <c r="C289" s="21" t="n">
        <v>1000</v>
      </c>
      <c r="D289" s="21" t="n">
        <v>24000</v>
      </c>
      <c r="E289" s="2" t="n"/>
      <c r="F289" s="21" t="n">
        <v>15</v>
      </c>
      <c r="G289" s="21" t="n">
        <v>500000</v>
      </c>
      <c r="H289" s="21" t="n">
        <v>500</v>
      </c>
      <c r="I289" s="21" t="n">
        <v>24500</v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20.25" customHeight="1">
      <c r="A290" s="21" t="n"/>
      <c r="B290" s="21" t="n"/>
      <c r="C290" s="21" t="n"/>
      <c r="D290" s="21" t="n"/>
      <c r="E290" s="2" t="n"/>
      <c r="F290" s="21" t="n">
        <v>18</v>
      </c>
      <c r="G290" s="21" t="n">
        <v>500000</v>
      </c>
      <c r="H290" s="21" t="n">
        <v>1000</v>
      </c>
      <c r="I290" s="21" t="n">
        <v>24000</v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20.25" customHeight="1">
      <c r="A291" s="21" t="n"/>
      <c r="B291" s="21" t="n"/>
      <c r="C291" s="21" t="n"/>
      <c r="D291" s="21" t="n"/>
      <c r="E291" s="2" t="n"/>
      <c r="F291" s="21" t="n">
        <v>18</v>
      </c>
      <c r="G291" s="21" t="n">
        <v>500000</v>
      </c>
      <c r="H291" s="21" t="n">
        <v>1000</v>
      </c>
      <c r="I291" s="21" t="n">
        <v>24000</v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20.25" customHeight="1">
      <c r="A292" s="21" t="n"/>
      <c r="B292" s="21" t="n"/>
      <c r="C292" s="21" t="n"/>
      <c r="D292" s="21" t="n"/>
      <c r="E292" s="2" t="n"/>
      <c r="F292" s="21" t="n"/>
      <c r="G292" s="21" t="n"/>
      <c r="H292" s="21" t="n"/>
      <c r="I292" s="2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20.25" customHeight="1">
      <c r="A293" s="14" t="inlineStr">
        <is>
          <t>TOTAL PAYABLE</t>
        </is>
      </c>
      <c r="B293" s="14" t="n"/>
      <c r="C293" s="14" t="n">
        <v>2000</v>
      </c>
      <c r="D293" s="21" t="n">
        <v>123000</v>
      </c>
      <c r="E293" s="2" t="n"/>
      <c r="F293" s="21" t="inlineStr">
        <is>
          <t>Total Payable</t>
        </is>
      </c>
      <c r="H293" t="n">
        <v>3500</v>
      </c>
      <c r="I293" s="21" t="n">
        <v>121500</v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6.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20.25" customHeight="1">
      <c r="A295" s="21" t="inlineStr">
        <is>
          <t>Name</t>
        </is>
      </c>
      <c r="B295" s="21" t="inlineStr">
        <is>
          <t>MUNJI</t>
        </is>
      </c>
      <c r="C295" s="21" t="inlineStr">
        <is>
          <t>RAMARAM</t>
        </is>
      </c>
      <c r="D295" s="21" t="inlineStr">
        <is>
          <t>2026-01-15</t>
        </is>
      </c>
      <c r="E295" s="2" t="n"/>
      <c r="F295" s="21" t="inlineStr">
        <is>
          <t>Name</t>
        </is>
      </c>
      <c r="G295" s="21" t="inlineStr">
        <is>
          <t>JAIRUPRAMJI</t>
        </is>
      </c>
      <c r="H295" s="21" t="inlineStr">
        <is>
          <t>RMTPUR</t>
        </is>
      </c>
      <c r="I295" s="21" t="inlineStr">
        <is>
          <t>2026-01-15</t>
        </is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20.25" customHeight="1">
      <c r="A296" s="21" t="inlineStr">
        <is>
          <t>Month</t>
        </is>
      </c>
      <c r="B296" s="21" t="inlineStr">
        <is>
          <t>Plan</t>
        </is>
      </c>
      <c r="C296" s="21" t="inlineStr">
        <is>
          <t>Commission</t>
        </is>
      </c>
      <c r="D296" s="21" t="inlineStr">
        <is>
          <t>Amount</t>
        </is>
      </c>
      <c r="E296" s="2" t="n"/>
      <c r="F296" s="21" t="inlineStr">
        <is>
          <t>Month</t>
        </is>
      </c>
      <c r="G296" s="21" t="inlineStr">
        <is>
          <t>Plan</t>
        </is>
      </c>
      <c r="H296" s="21" t="inlineStr">
        <is>
          <t>Commission</t>
        </is>
      </c>
      <c r="I296" s="21" t="inlineStr">
        <is>
          <t>Amount</t>
        </is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20.25" customHeight="1">
      <c r="A297" s="21" t="n">
        <v>10</v>
      </c>
      <c r="B297" s="21" t="n">
        <v>2000000</v>
      </c>
      <c r="C297" s="21" t="n">
        <v>1000</v>
      </c>
      <c r="D297" s="21" t="n">
        <v>99000</v>
      </c>
      <c r="E297" s="2" t="n"/>
      <c r="F297" s="21" t="n">
        <v>10</v>
      </c>
      <c r="G297" s="21" t="n">
        <v>2000000</v>
      </c>
      <c r="H297" s="21" t="n">
        <v>1000</v>
      </c>
      <c r="I297" s="21" t="n">
        <v>99000</v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20.25" customHeight="1">
      <c r="A298" s="21" t="n">
        <v>18</v>
      </c>
      <c r="B298" s="21" t="n">
        <v>500000</v>
      </c>
      <c r="C298" s="21" t="n">
        <v>1000</v>
      </c>
      <c r="D298" s="21" t="n">
        <v>24000</v>
      </c>
      <c r="E298" s="2" t="n"/>
      <c r="F298" s="21" t="n">
        <v>10</v>
      </c>
      <c r="G298" s="21" t="n">
        <v>1000000</v>
      </c>
      <c r="H298" s="21" t="n">
        <v>1000</v>
      </c>
      <c r="I298" s="21" t="n">
        <v>49000</v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20.25" customHeight="1">
      <c r="A299" s="21" t="n">
        <v>1</v>
      </c>
      <c r="B299" s="21" t="n">
        <v>1000000</v>
      </c>
      <c r="C299" s="21" t="n">
        <v>1000</v>
      </c>
      <c r="D299" s="21" t="n">
        <v>49000</v>
      </c>
      <c r="E299" s="2" t="n"/>
      <c r="F299" s="21" t="n"/>
      <c r="G299" s="21" t="n"/>
      <c r="H299" s="21" t="n"/>
      <c r="I299" s="2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20.25" customHeight="1">
      <c r="A300" s="21" t="n"/>
      <c r="B300" s="21" t="n"/>
      <c r="C300" s="21" t="n"/>
      <c r="D300" s="21" t="n"/>
      <c r="E300" s="2" t="n"/>
      <c r="F300" s="21" t="n"/>
      <c r="G300" s="21" t="n"/>
      <c r="H300" s="21" t="n"/>
      <c r="I300" s="2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20.25" customHeight="1">
      <c r="A301" s="21" t="n"/>
      <c r="B301" s="21" t="n"/>
      <c r="C301" s="21" t="n"/>
      <c r="D301" s="21" t="n"/>
      <c r="E301" s="2" t="n"/>
      <c r="F301" s="21" t="n"/>
      <c r="G301" s="21" t="n"/>
      <c r="H301" s="21" t="n"/>
      <c r="I301" s="2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20.25" customHeight="1">
      <c r="A302" s="21" t="inlineStr">
        <is>
          <t>Total Payable</t>
        </is>
      </c>
      <c r="B302" s="21" t="n"/>
      <c r="C302" s="21" t="n">
        <v>3000</v>
      </c>
      <c r="D302" s="21" t="n">
        <v>172000</v>
      </c>
      <c r="E302" s="2" t="n"/>
      <c r="F302" s="21" t="inlineStr">
        <is>
          <t>Total Payable</t>
        </is>
      </c>
      <c r="H302" t="n">
        <v>2000</v>
      </c>
      <c r="I302" s="21" t="n">
        <v>148000</v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6.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20.25" customHeight="1">
      <c r="A304" s="21" t="inlineStr">
        <is>
          <t>Name</t>
        </is>
      </c>
      <c r="B304" s="21" t="inlineStr">
        <is>
          <t>RAMESHJI</t>
        </is>
      </c>
      <c r="C304" s="21" t="inlineStr">
        <is>
          <t>ALWN COL</t>
        </is>
      </c>
      <c r="D304" s="21" t="inlineStr">
        <is>
          <t>2026-01-15</t>
        </is>
      </c>
      <c r="E304" s="2" t="n"/>
      <c r="F304" s="21" t="inlineStr">
        <is>
          <t>Name</t>
        </is>
      </c>
      <c r="G304" s="21" t="inlineStr">
        <is>
          <t>SURESHJI</t>
        </is>
      </c>
      <c r="H304" s="21" t="inlineStr">
        <is>
          <t>KAMAN</t>
        </is>
      </c>
      <c r="I304" s="21" t="inlineStr">
        <is>
          <t>2026-01-15</t>
        </is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20.25" customHeight="1">
      <c r="A305" s="21" t="inlineStr">
        <is>
          <t>Month</t>
        </is>
      </c>
      <c r="B305" s="21" t="inlineStr">
        <is>
          <t>Plan</t>
        </is>
      </c>
      <c r="C305" s="21" t="inlineStr">
        <is>
          <t>Commission</t>
        </is>
      </c>
      <c r="D305" s="21" t="inlineStr">
        <is>
          <t>Amount</t>
        </is>
      </c>
      <c r="E305" s="2" t="n"/>
      <c r="F305" s="21" t="inlineStr">
        <is>
          <t>Month</t>
        </is>
      </c>
      <c r="G305" s="21" t="inlineStr">
        <is>
          <t>Plan</t>
        </is>
      </c>
      <c r="H305" s="21" t="inlineStr">
        <is>
          <t>Commission</t>
        </is>
      </c>
      <c r="I305" s="21" t="inlineStr">
        <is>
          <t>Amount</t>
        </is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20.25" customHeight="1">
      <c r="A306" s="21" t="n">
        <v>10</v>
      </c>
      <c r="B306" s="21" t="n">
        <v>1000000</v>
      </c>
      <c r="C306" s="21" t="n">
        <v>1000</v>
      </c>
      <c r="D306" s="21" t="n">
        <v>49000</v>
      </c>
      <c r="E306" s="2" t="n"/>
      <c r="F306" s="21" t="n">
        <v>10</v>
      </c>
      <c r="G306" s="21" t="n">
        <v>1000000</v>
      </c>
      <c r="H306" s="21" t="n">
        <v>1000</v>
      </c>
      <c r="I306" s="21" t="n">
        <v>49000</v>
      </c>
      <c r="J306" s="21">
        <f>VLOOKUP(G306&amp;"|"&amp;H306,$Q$3:$R$16,2,FALSE)</f>
        <v/>
      </c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20.25" customHeight="1">
      <c r="A307" s="21" t="n">
        <v>5</v>
      </c>
      <c r="B307" s="21" t="n">
        <v>1000000</v>
      </c>
      <c r="C307" s="21" t="n">
        <v>1000</v>
      </c>
      <c r="D307" s="21" t="n">
        <v>49000</v>
      </c>
      <c r="E307" s="2" t="n"/>
      <c r="F307" s="21" t="n"/>
      <c r="G307" s="21" t="n"/>
      <c r="H307" s="21" t="n"/>
      <c r="I307" s="2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20.25" customHeight="1">
      <c r="A308" s="21" t="n"/>
      <c r="B308" s="21" t="n"/>
      <c r="C308" s="21" t="n"/>
      <c r="D308" s="21" t="n"/>
      <c r="E308" s="2" t="n"/>
      <c r="F308" s="21" t="n"/>
      <c r="G308" s="21" t="n"/>
      <c r="H308" s="21" t="n"/>
      <c r="I308" s="2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20.25" customHeight="1">
      <c r="A309" s="21" t="n"/>
      <c r="B309" s="21" t="n"/>
      <c r="C309" s="21" t="n"/>
      <c r="D309" s="21" t="n"/>
      <c r="E309" s="2" t="n"/>
      <c r="F309" s="21" t="n"/>
      <c r="G309" s="21" t="n"/>
      <c r="H309" s="21" t="n"/>
      <c r="I309" s="2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20.25" customHeight="1">
      <c r="A310" s="21" t="n"/>
      <c r="B310" s="21" t="n"/>
      <c r="C310" s="21" t="n"/>
      <c r="D310" s="21" t="n"/>
      <c r="E310" s="2" t="n"/>
      <c r="F310" s="21" t="n"/>
      <c r="G310" s="21" t="n"/>
      <c r="H310" s="21" t="n"/>
      <c r="I310" s="2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20.25" customHeight="1">
      <c r="A311" s="21" t="inlineStr">
        <is>
          <t>Total Payable</t>
        </is>
      </c>
      <c r="B311" s="21" t="n"/>
      <c r="C311" s="21" t="n">
        <v>2000</v>
      </c>
      <c r="D311" s="21" t="n">
        <v>98000</v>
      </c>
      <c r="E311" s="2" t="n"/>
      <c r="F311" s="21" t="inlineStr">
        <is>
          <t>Total Payable</t>
        </is>
      </c>
      <c r="H311" t="n">
        <v>1000</v>
      </c>
      <c r="I311" s="21" t="n">
        <v>49000</v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6.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20.25" customHeight="1">
      <c r="A313" s="21" t="inlineStr">
        <is>
          <t>Name</t>
        </is>
      </c>
      <c r="B313" s="21" t="inlineStr">
        <is>
          <t>OM</t>
        </is>
      </c>
      <c r="C313" s="21" t="inlineStr">
        <is>
          <t>J GUTTA</t>
        </is>
      </c>
      <c r="D313" s="21" t="inlineStr">
        <is>
          <t>2026-01-15</t>
        </is>
      </c>
      <c r="E313" s="2" t="n"/>
      <c r="F313" s="21" t="inlineStr">
        <is>
          <t>Name</t>
        </is>
      </c>
      <c r="G313" s="21" t="inlineStr">
        <is>
          <t>NARAYANJI</t>
        </is>
      </c>
      <c r="H313" s="21" t="inlineStr">
        <is>
          <t>ALWAL</t>
        </is>
      </c>
      <c r="I313" s="21" t="inlineStr">
        <is>
          <t>2026-01-15</t>
        </is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20.25" customHeight="1">
      <c r="A314" s="21" t="inlineStr">
        <is>
          <t>Month</t>
        </is>
      </c>
      <c r="B314" s="21" t="inlineStr">
        <is>
          <t>Plan</t>
        </is>
      </c>
      <c r="C314" s="21" t="inlineStr">
        <is>
          <t>Commission</t>
        </is>
      </c>
      <c r="D314" s="21" t="inlineStr">
        <is>
          <t>Amount</t>
        </is>
      </c>
      <c r="E314" s="2" t="n"/>
      <c r="F314" s="21" t="inlineStr">
        <is>
          <t>Month</t>
        </is>
      </c>
      <c r="G314" s="21" t="inlineStr">
        <is>
          <t>Plan</t>
        </is>
      </c>
      <c r="H314" s="21" t="inlineStr">
        <is>
          <t>Commission</t>
        </is>
      </c>
      <c r="I314" s="21" t="inlineStr">
        <is>
          <t>Amount</t>
        </is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20.25" customHeight="1">
      <c r="A315" s="21" t="n">
        <v>10</v>
      </c>
      <c r="B315" s="21" t="n">
        <v>500000</v>
      </c>
      <c r="C315" s="21" t="n">
        <v>1000</v>
      </c>
      <c r="D315" s="21" t="n">
        <v>24000</v>
      </c>
      <c r="E315" s="2" t="n"/>
      <c r="F315" s="21" t="n">
        <v>1</v>
      </c>
      <c r="G315" s="21" t="n">
        <v>500000</v>
      </c>
      <c r="H315" s="21" t="n">
        <v>1000</v>
      </c>
      <c r="I315" s="21" t="n">
        <v>24000</v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20.25" customHeight="1">
      <c r="A316" s="21" t="n">
        <v>15</v>
      </c>
      <c r="B316" s="21" t="n">
        <v>500000</v>
      </c>
      <c r="C316" s="21" t="n">
        <v>500</v>
      </c>
      <c r="D316" s="21" t="n">
        <v>24500</v>
      </c>
      <c r="E316" s="2" t="n"/>
      <c r="F316" s="21" t="n"/>
      <c r="G316" s="21" t="n"/>
      <c r="H316" s="21" t="n"/>
      <c r="I316" s="2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20.25" customHeight="1">
      <c r="A317" s="21" t="n"/>
      <c r="B317" s="21" t="n"/>
      <c r="C317" s="21" t="n"/>
      <c r="D317" s="21" t="n"/>
      <c r="E317" s="2" t="n"/>
      <c r="F317" s="21" t="n"/>
      <c r="G317" s="21" t="n"/>
      <c r="H317" s="21" t="n"/>
      <c r="I317" s="2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20.25" customHeight="1">
      <c r="A318" s="21" t="n"/>
      <c r="B318" s="21" t="n"/>
      <c r="C318" s="21" t="n"/>
      <c r="D318" s="21" t="n"/>
      <c r="E318" s="2" t="n"/>
      <c r="F318" s="21" t="n"/>
      <c r="G318" s="21" t="n"/>
      <c r="H318" s="21" t="n"/>
      <c r="I318" s="2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20.25" customHeight="1">
      <c r="A319" s="21" t="n"/>
      <c r="B319" s="21" t="n"/>
      <c r="C319" s="21" t="n"/>
      <c r="D319" s="21" t="n"/>
      <c r="E319" s="2" t="n"/>
      <c r="F319" s="21" t="n"/>
      <c r="G319" s="21" t="n"/>
      <c r="H319" s="21" t="n"/>
      <c r="I319" s="2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20.25" customHeight="1">
      <c r="A320" s="21" t="inlineStr">
        <is>
          <t>Total Payable</t>
        </is>
      </c>
      <c r="B320" s="21" t="n"/>
      <c r="C320" s="21" t="n">
        <v>1500</v>
      </c>
      <c r="D320" s="21" t="n">
        <v>48500</v>
      </c>
      <c r="E320" s="2" t="n"/>
      <c r="F320" s="21" t="inlineStr">
        <is>
          <t>Total Payable</t>
        </is>
      </c>
      <c r="H320" t="n">
        <v>1000</v>
      </c>
      <c r="I320" s="21" t="n">
        <v>24000</v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6.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20.25" customHeight="1">
      <c r="A322" s="21" t="inlineStr">
        <is>
          <t>Name</t>
        </is>
      </c>
      <c r="B322" s="21" t="inlineStr">
        <is>
          <t>BABULALJI</t>
        </is>
      </c>
      <c r="C322" s="21" t="inlineStr">
        <is>
          <t>CHILKA NGR</t>
        </is>
      </c>
      <c r="D322" s="21" t="inlineStr">
        <is>
          <t>2026-01-15</t>
        </is>
      </c>
      <c r="E322" s="2" t="n"/>
      <c r="F322" s="21" t="inlineStr">
        <is>
          <t>Name</t>
        </is>
      </c>
      <c r="G322" s="21" t="inlineStr">
        <is>
          <t>CHENJI</t>
        </is>
      </c>
      <c r="H322" s="21" t="inlineStr">
        <is>
          <t>BOLARAM</t>
        </is>
      </c>
      <c r="I322" s="21" t="inlineStr">
        <is>
          <t>2026-01-15</t>
        </is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20.25" customHeight="1">
      <c r="A323" s="21" t="inlineStr">
        <is>
          <t>Month</t>
        </is>
      </c>
      <c r="B323" s="21" t="inlineStr">
        <is>
          <t>Plan</t>
        </is>
      </c>
      <c r="C323" s="21" t="inlineStr">
        <is>
          <t>Commission</t>
        </is>
      </c>
      <c r="D323" s="21" t="inlineStr">
        <is>
          <t>Amount</t>
        </is>
      </c>
      <c r="E323" s="2" t="n"/>
      <c r="F323" s="21" t="inlineStr">
        <is>
          <t>Month</t>
        </is>
      </c>
      <c r="G323" s="21" t="inlineStr">
        <is>
          <t>Plan</t>
        </is>
      </c>
      <c r="H323" s="21" t="inlineStr">
        <is>
          <t>Commission</t>
        </is>
      </c>
      <c r="I323" s="21" t="inlineStr">
        <is>
          <t>Amount</t>
        </is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20.25" customHeight="1">
      <c r="A324" s="21" t="n">
        <v>5</v>
      </c>
      <c r="B324" s="21" t="n">
        <v>500000</v>
      </c>
      <c r="C324" s="21" t="n">
        <v>1000</v>
      </c>
      <c r="D324" s="21" t="n">
        <v>24000</v>
      </c>
      <c r="E324" s="2" t="n"/>
      <c r="F324" s="21" t="n">
        <v>15</v>
      </c>
      <c r="G324" s="21" t="n">
        <v>500000</v>
      </c>
      <c r="H324" s="21" t="n">
        <v>500</v>
      </c>
      <c r="I324" s="21" t="n">
        <v>24500</v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20.25" customHeight="1">
      <c r="A325" s="21" t="n"/>
      <c r="B325" s="21" t="n"/>
      <c r="C325" s="21" t="n"/>
      <c r="D325" s="21" t="n"/>
      <c r="E325" s="2" t="n"/>
      <c r="F325" s="21" t="n"/>
      <c r="G325" s="21" t="n"/>
      <c r="H325" s="21" t="n"/>
      <c r="I325" s="2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20.25" customHeight="1">
      <c r="A326" s="21" t="n"/>
      <c r="B326" s="21" t="n"/>
      <c r="C326" s="21" t="n"/>
      <c r="D326" s="21" t="n"/>
      <c r="E326" s="2" t="n"/>
      <c r="F326" s="21" t="n"/>
      <c r="G326" s="21" t="n"/>
      <c r="H326" s="21" t="n"/>
      <c r="I326" s="2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20.25" customHeight="1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20.25" customHeight="1">
      <c r="A328" s="21" t="n"/>
      <c r="B328" s="21" t="n"/>
      <c r="C328" s="21" t="n"/>
      <c r="D328" s="21" t="n"/>
      <c r="E328" s="2" t="n"/>
      <c r="F328" s="21" t="n"/>
      <c r="G328" s="21" t="n"/>
      <c r="H328" s="21" t="n"/>
      <c r="I328" s="2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20.25" customHeight="1">
      <c r="A329" s="21" t="inlineStr">
        <is>
          <t>Total Payable</t>
        </is>
      </c>
      <c r="B329" s="21" t="n"/>
      <c r="C329" s="21" t="n">
        <v>1000</v>
      </c>
      <c r="D329" s="21" t="n">
        <v>24000</v>
      </c>
      <c r="E329" s="2" t="n"/>
      <c r="F329" s="21" t="inlineStr">
        <is>
          <t>Total Payable</t>
        </is>
      </c>
      <c r="H329" t="n">
        <v>500</v>
      </c>
      <c r="I329" s="21" t="n">
        <v>24500</v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6.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20.25" customHeight="1">
      <c r="A331" s="21" t="inlineStr">
        <is>
          <t>Name</t>
        </is>
      </c>
      <c r="B331" s="21" t="inlineStr">
        <is>
          <t>MUKESHJI</t>
        </is>
      </c>
      <c r="C331" s="21" t="inlineStr">
        <is>
          <t>RAMARAM</t>
        </is>
      </c>
      <c r="D331" s="21" t="inlineStr">
        <is>
          <t>2026-01-15</t>
        </is>
      </c>
      <c r="E331" s="2" t="n"/>
      <c r="F331" s="21" t="inlineStr">
        <is>
          <t>Name</t>
        </is>
      </c>
      <c r="G331" s="21" t="inlineStr">
        <is>
          <t>MOHANJI</t>
        </is>
      </c>
      <c r="H331" s="21" t="inlineStr">
        <is>
          <t>YAMJAL</t>
        </is>
      </c>
      <c r="I331" s="21" t="inlineStr">
        <is>
          <t>2026-01-15</t>
        </is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20.25" customHeight="1">
      <c r="A332" s="21" t="inlineStr">
        <is>
          <t>Month</t>
        </is>
      </c>
      <c r="B332" s="21" t="inlineStr">
        <is>
          <t>Plan</t>
        </is>
      </c>
      <c r="C332" s="21" t="inlineStr">
        <is>
          <t>Commission</t>
        </is>
      </c>
      <c r="D332" s="21" t="inlineStr">
        <is>
          <t>Amount</t>
        </is>
      </c>
      <c r="E332" s="2" t="n"/>
      <c r="F332" s="21" t="inlineStr">
        <is>
          <t>Month</t>
        </is>
      </c>
      <c r="G332" s="21" t="inlineStr">
        <is>
          <t>Plan</t>
        </is>
      </c>
      <c r="H332" s="21" t="inlineStr">
        <is>
          <t>Commission</t>
        </is>
      </c>
      <c r="I332" s="21" t="inlineStr">
        <is>
          <t>Amount</t>
        </is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20.25" customHeight="1">
      <c r="A333" s="21" t="n">
        <v>15</v>
      </c>
      <c r="B333" s="21" t="n">
        <v>500000</v>
      </c>
      <c r="C333" s="21" t="n">
        <v>500</v>
      </c>
      <c r="D333" s="21" t="n">
        <v>24500</v>
      </c>
      <c r="E333" s="2" t="n"/>
      <c r="F333" s="21" t="n">
        <v>15</v>
      </c>
      <c r="G333" s="21" t="n">
        <v>500000</v>
      </c>
      <c r="H333" s="21" t="n">
        <v>500</v>
      </c>
      <c r="I333" s="21" t="n">
        <v>24500</v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20.25" customHeight="1">
      <c r="A334" s="21" t="n">
        <v>18</v>
      </c>
      <c r="B334" s="21" t="n">
        <v>500000</v>
      </c>
      <c r="C334" s="21" t="n">
        <v>1000</v>
      </c>
      <c r="D334" s="21" t="n">
        <v>24000</v>
      </c>
      <c r="E334" s="2" t="n"/>
      <c r="F334" s="21" t="n"/>
      <c r="G334" s="21" t="n"/>
      <c r="H334" s="21" t="n"/>
      <c r="I334" s="2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20.25" customHeight="1">
      <c r="A335" s="21" t="n"/>
      <c r="B335" s="21" t="n"/>
      <c r="C335" s="21" t="n"/>
      <c r="D335" s="21" t="n"/>
      <c r="E335" s="2" t="n"/>
      <c r="F335" s="21" t="n"/>
      <c r="G335" s="21" t="n"/>
      <c r="H335" s="21" t="n"/>
      <c r="I335" s="2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20.25" customHeight="1">
      <c r="A336" s="21" t="n"/>
      <c r="B336" s="21" t="n"/>
      <c r="C336" s="21" t="n"/>
      <c r="D336" s="21" t="n"/>
      <c r="E336" s="2" t="n"/>
      <c r="F336" s="21" t="n"/>
      <c r="G336" s="21" t="n"/>
      <c r="H336" s="21" t="n"/>
      <c r="I336" s="2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20.25" customHeight="1">
      <c r="A337" s="21" t="n"/>
      <c r="B337" s="21" t="n"/>
      <c r="C337" s="21" t="n"/>
      <c r="D337" s="21" t="n"/>
      <c r="E337" s="2" t="n"/>
      <c r="F337" s="21" t="n"/>
      <c r="G337" s="21" t="n"/>
      <c r="H337" s="21" t="n"/>
      <c r="I337" s="2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20.25" customHeight="1">
      <c r="A338" s="21" t="inlineStr">
        <is>
          <t>Total Payable</t>
        </is>
      </c>
      <c r="B338" s="21" t="n"/>
      <c r="C338" s="21" t="n">
        <v>1500</v>
      </c>
      <c r="D338" s="21" t="n">
        <v>48500</v>
      </c>
      <c r="E338" s="21" t="n"/>
      <c r="F338" s="21" t="inlineStr">
        <is>
          <t>Total Payable</t>
        </is>
      </c>
      <c r="H338" t="n">
        <v>500</v>
      </c>
      <c r="I338" s="21" t="n">
        <v>24500</v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6.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20.25" customHeight="1">
      <c r="A340" s="21" t="inlineStr">
        <is>
          <t>Name</t>
        </is>
      </c>
      <c r="B340" s="21" t="inlineStr">
        <is>
          <t>MISRILALJI</t>
        </is>
      </c>
      <c r="C340" s="21" t="inlineStr">
        <is>
          <t>MEDCHAL</t>
        </is>
      </c>
      <c r="D340" s="21" t="inlineStr">
        <is>
          <t>2026-01-15</t>
        </is>
      </c>
      <c r="E340" s="2" t="n"/>
      <c r="F340" s="21" t="inlineStr">
        <is>
          <t>Name</t>
        </is>
      </c>
      <c r="G340" s="21" t="inlineStr">
        <is>
          <t>GOPJI</t>
        </is>
      </c>
      <c r="H340" s="21" t="inlineStr">
        <is>
          <t>KOTLAPUR</t>
        </is>
      </c>
      <c r="I340" s="21" t="inlineStr">
        <is>
          <t>2026-01-15</t>
        </is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20.25" customHeight="1">
      <c r="A341" s="21" t="inlineStr">
        <is>
          <t>Month</t>
        </is>
      </c>
      <c r="B341" s="21" t="inlineStr">
        <is>
          <t>Plan</t>
        </is>
      </c>
      <c r="C341" s="21" t="inlineStr">
        <is>
          <t>Commission</t>
        </is>
      </c>
      <c r="D341" s="21" t="inlineStr">
        <is>
          <t>Amount</t>
        </is>
      </c>
      <c r="E341" s="2" t="n"/>
      <c r="F341" s="21" t="inlineStr">
        <is>
          <t>Month</t>
        </is>
      </c>
      <c r="G341" s="21" t="inlineStr">
        <is>
          <t>Plan</t>
        </is>
      </c>
      <c r="H341" s="21" t="inlineStr">
        <is>
          <t>Commission</t>
        </is>
      </c>
      <c r="I341" s="21" t="inlineStr">
        <is>
          <t>Amount</t>
        </is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20.25" customHeight="1">
      <c r="A342" s="21" t="n">
        <v>18</v>
      </c>
      <c r="B342" s="21" t="n">
        <v>500000</v>
      </c>
      <c r="C342" s="21" t="n">
        <v>1000</v>
      </c>
      <c r="D342" s="21" t="n">
        <v>24000</v>
      </c>
      <c r="E342" s="2" t="n"/>
      <c r="F342" s="21" t="n">
        <v>5</v>
      </c>
      <c r="G342" s="21" t="n">
        <v>500000</v>
      </c>
      <c r="H342" s="21" t="n">
        <v>1000</v>
      </c>
      <c r="I342" s="21" t="n">
        <v>24000</v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20.25" customHeight="1">
      <c r="A343" s="21" t="n"/>
      <c r="B343" s="21" t="n"/>
      <c r="C343" s="21" t="n"/>
      <c r="D343" s="21" t="n"/>
      <c r="E343" s="2" t="n"/>
      <c r="F343" s="21" t="n"/>
      <c r="G343" s="21" t="n"/>
      <c r="H343" s="21" t="n"/>
      <c r="I343" s="2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20.25" customHeight="1">
      <c r="A344" s="21" t="n"/>
      <c r="B344" s="21" t="n"/>
      <c r="C344" s="21" t="n"/>
      <c r="D344" s="21" t="n"/>
      <c r="E344" s="2" t="n"/>
      <c r="F344" s="21" t="n"/>
      <c r="G344" s="21" t="n"/>
      <c r="H344" s="21" t="n"/>
      <c r="I344" s="2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20.25" customHeight="1">
      <c r="A345" s="21" t="n"/>
      <c r="B345" s="21" t="n"/>
      <c r="C345" s="21" t="n"/>
      <c r="D345" s="21" t="n"/>
      <c r="E345" s="2" t="n"/>
      <c r="F345" s="21" t="n"/>
      <c r="G345" s="21" t="n"/>
      <c r="H345" s="21" t="n"/>
      <c r="I345" s="2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20.25" customHeight="1">
      <c r="A346" s="21" t="n"/>
      <c r="B346" s="21" t="n"/>
      <c r="C346" s="21" t="n"/>
      <c r="D346" s="21" t="n"/>
      <c r="E346" s="2" t="n"/>
      <c r="F346" s="21" t="n"/>
      <c r="G346" s="21" t="n"/>
      <c r="H346" s="21" t="n"/>
      <c r="I346" s="2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20.25" customHeight="1">
      <c r="A347" s="21" t="inlineStr">
        <is>
          <t>Total Payable</t>
        </is>
      </c>
      <c r="B347" s="21" t="n"/>
      <c r="C347" s="21" t="n">
        <v>1000</v>
      </c>
      <c r="D347" s="21" t="n">
        <v>24000</v>
      </c>
      <c r="E347" s="2" t="n"/>
      <c r="F347" s="21" t="inlineStr">
        <is>
          <t>Total Payable</t>
        </is>
      </c>
      <c r="H347" t="n">
        <v>1000</v>
      </c>
      <c r="I347" s="21" t="n">
        <v>24000</v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20.25" customHeight="1">
      <c r="A348" s="21" t="n"/>
      <c r="B348" s="21" t="n"/>
      <c r="C348" s="21" t="n"/>
      <c r="D348" s="21" t="n"/>
      <c r="E348" s="2" t="n"/>
      <c r="F348" s="2" t="n"/>
      <c r="G348" s="2" t="n"/>
      <c r="H348" s="2" t="n"/>
      <c r="I348" s="2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20.25" customHeight="1">
      <c r="A349" s="21" t="inlineStr">
        <is>
          <t>Name</t>
        </is>
      </c>
      <c r="B349" s="21" t="inlineStr">
        <is>
          <t>GOVIND</t>
        </is>
      </c>
      <c r="C349" s="21" t="inlineStr">
        <is>
          <t>PPR NGR</t>
        </is>
      </c>
      <c r="D349" s="21" t="inlineStr">
        <is>
          <t>2026-01-15</t>
        </is>
      </c>
      <c r="E349" s="2" t="n"/>
      <c r="F349" s="21" t="inlineStr">
        <is>
          <t>Name</t>
        </is>
      </c>
      <c r="G349" s="21" t="inlineStr">
        <is>
          <t>NEMJI</t>
        </is>
      </c>
      <c r="H349" s="21" t="inlineStr">
        <is>
          <t>SUCHITRA</t>
        </is>
      </c>
      <c r="I349" s="21" t="inlineStr">
        <is>
          <t>2026-01-15</t>
        </is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20.25" customHeight="1">
      <c r="A350" s="21" t="inlineStr">
        <is>
          <t>Month</t>
        </is>
      </c>
      <c r="B350" s="21" t="inlineStr">
        <is>
          <t>Plan</t>
        </is>
      </c>
      <c r="C350" s="21" t="inlineStr">
        <is>
          <t>Commission</t>
        </is>
      </c>
      <c r="D350" s="21" t="inlineStr">
        <is>
          <t>Amount</t>
        </is>
      </c>
      <c r="E350" s="2" t="n"/>
      <c r="F350" s="21" t="inlineStr">
        <is>
          <t>Month</t>
        </is>
      </c>
      <c r="G350" s="21" t="inlineStr">
        <is>
          <t>Plan</t>
        </is>
      </c>
      <c r="H350" s="21" t="inlineStr">
        <is>
          <t>Commission</t>
        </is>
      </c>
      <c r="I350" s="21" t="inlineStr">
        <is>
          <t>Amount</t>
        </is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20.25" customHeight="1">
      <c r="A351" s="21" t="n">
        <v>1</v>
      </c>
      <c r="B351" s="21" t="n">
        <v>500000</v>
      </c>
      <c r="C351" s="21" t="n">
        <v>1000</v>
      </c>
      <c r="D351" s="21" t="n">
        <v>24000</v>
      </c>
      <c r="E351" s="2" t="n"/>
      <c r="F351" s="21" t="n">
        <v>5</v>
      </c>
      <c r="G351" s="21" t="n">
        <v>500000</v>
      </c>
      <c r="H351" s="21" t="n">
        <v>1000</v>
      </c>
      <c r="I351" s="21" t="n">
        <v>24000</v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20.25" customHeight="1">
      <c r="A352" s="21" t="n"/>
      <c r="B352" s="21" t="n"/>
      <c r="C352" s="21" t="n"/>
      <c r="D352" s="21" t="n"/>
      <c r="E352" s="2" t="n"/>
      <c r="F352" s="21" t="n"/>
      <c r="G352" s="21" t="n"/>
      <c r="H352" s="21" t="n"/>
      <c r="I352" s="2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20.25" customHeight="1">
      <c r="A353" s="21" t="n"/>
      <c r="B353" s="21" t="n"/>
      <c r="C353" s="21" t="n"/>
      <c r="D353" s="21" t="n"/>
      <c r="E353" s="2" t="n"/>
      <c r="F353" s="21" t="n"/>
      <c r="G353" s="21" t="n"/>
      <c r="H353" s="21" t="n"/>
      <c r="I353" s="2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20.25" customHeight="1">
      <c r="A354" s="21" t="n"/>
      <c r="B354" s="21" t="n"/>
      <c r="C354" s="21" t="n"/>
      <c r="D354" s="21" t="n"/>
      <c r="E354" s="2" t="n"/>
      <c r="F354" s="21" t="n"/>
      <c r="G354" s="21" t="n"/>
      <c r="H354" s="21" t="n"/>
      <c r="I354" s="2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20.25" customHeight="1">
      <c r="A355" s="21" t="n"/>
      <c r="B355" s="21" t="n"/>
      <c r="C355" s="21" t="n"/>
      <c r="D355" s="21" t="n"/>
      <c r="E355" s="2" t="n"/>
      <c r="F355" s="21" t="n"/>
      <c r="G355" s="21" t="n"/>
      <c r="H355" s="21" t="n"/>
      <c r="I355" s="2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20.25" customHeight="1">
      <c r="A356" s="21" t="inlineStr">
        <is>
          <t>Total Payable</t>
        </is>
      </c>
      <c r="B356" s="21" t="n"/>
      <c r="C356" s="21" t="n">
        <v>1000</v>
      </c>
      <c r="D356" s="21" t="n">
        <v>24000</v>
      </c>
      <c r="E356" s="2" t="n"/>
      <c r="F356" s="21" t="inlineStr">
        <is>
          <t>Total Payable</t>
        </is>
      </c>
      <c r="H356" t="n">
        <v>1000</v>
      </c>
      <c r="I356" s="21" t="n">
        <v>24000</v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20.25" customHeight="1">
      <c r="A357" s="21" t="n"/>
      <c r="B357" s="21" t="n"/>
      <c r="C357" s="21" t="n"/>
      <c r="D357" s="21" t="n"/>
      <c r="E357" s="2" t="n"/>
      <c r="F357" s="2" t="n"/>
      <c r="G357" s="2" t="n"/>
      <c r="H357" s="2" t="n"/>
      <c r="I357" s="2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20.25" customHeight="1">
      <c r="A358" s="21" t="inlineStr">
        <is>
          <t>Name</t>
        </is>
      </c>
      <c r="B358" s="21" t="inlineStr">
        <is>
          <t>SOHANLALJI</t>
        </is>
      </c>
      <c r="C358" s="21" t="inlineStr">
        <is>
          <t>RR NGR</t>
        </is>
      </c>
      <c r="D358" s="21" t="inlineStr">
        <is>
          <t>2026-01-15</t>
        </is>
      </c>
      <c r="E358" s="2" t="n"/>
      <c r="F358" s="21" t="inlineStr">
        <is>
          <t>Name</t>
        </is>
      </c>
      <c r="G358" s="21" t="inlineStr">
        <is>
          <t>HIMTARAMJI</t>
        </is>
      </c>
      <c r="H358" s="21" t="inlineStr">
        <is>
          <t>SURARAM</t>
        </is>
      </c>
      <c r="I358" s="21" t="inlineStr">
        <is>
          <t>2026-01-15</t>
        </is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20.25" customHeight="1">
      <c r="A359" s="21" t="inlineStr">
        <is>
          <t>Month</t>
        </is>
      </c>
      <c r="B359" s="21" t="inlineStr">
        <is>
          <t>Plan</t>
        </is>
      </c>
      <c r="C359" s="21" t="inlineStr">
        <is>
          <t>Commission</t>
        </is>
      </c>
      <c r="D359" s="21" t="inlineStr">
        <is>
          <t>Amount</t>
        </is>
      </c>
      <c r="E359" s="2" t="n"/>
      <c r="F359" s="21" t="inlineStr">
        <is>
          <t>Month</t>
        </is>
      </c>
      <c r="G359" s="21" t="inlineStr">
        <is>
          <t>Plan</t>
        </is>
      </c>
      <c r="H359" s="21" t="inlineStr">
        <is>
          <t>Commission</t>
        </is>
      </c>
      <c r="I359" s="21" t="inlineStr">
        <is>
          <t>Amount</t>
        </is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20.25" customHeight="1">
      <c r="A360" s="21" t="n">
        <v>10</v>
      </c>
      <c r="B360" s="21" t="n">
        <v>500000</v>
      </c>
      <c r="C360" s="21" t="n">
        <v>1000</v>
      </c>
      <c r="D360" s="21" t="n">
        <v>24000</v>
      </c>
      <c r="E360" s="2" t="n"/>
      <c r="F360" s="21" t="n">
        <v>18</v>
      </c>
      <c r="G360" s="21" t="n">
        <v>500000</v>
      </c>
      <c r="H360" s="21" t="n">
        <v>1000</v>
      </c>
      <c r="I360" s="21" t="n">
        <v>24000</v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20.25" customHeight="1">
      <c r="A361" s="21" t="n">
        <v>5.1</v>
      </c>
      <c r="B361" s="21" t="n">
        <v>1000000</v>
      </c>
      <c r="C361" s="21" t="n">
        <v>1000</v>
      </c>
      <c r="D361" s="21" t="n">
        <v>49000</v>
      </c>
      <c r="E361" s="2" t="n"/>
      <c r="F361" s="21" t="n"/>
      <c r="G361" s="21" t="n"/>
      <c r="H361" s="21" t="n"/>
      <c r="I361" s="2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20.25" customHeight="1">
      <c r="A362" s="21" t="n"/>
      <c r="B362" s="21" t="n"/>
      <c r="C362" s="21" t="n"/>
      <c r="D362" s="21" t="n"/>
      <c r="E362" s="2" t="n"/>
      <c r="F362" s="21" t="n"/>
      <c r="G362" s="21" t="n"/>
      <c r="H362" s="21" t="n"/>
      <c r="I362" s="2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20.25" customHeight="1">
      <c r="A363" s="21" t="n"/>
      <c r="B363" s="21" t="n"/>
      <c r="C363" s="21" t="n"/>
      <c r="D363" s="21" t="n"/>
      <c r="E363" s="2" t="n"/>
      <c r="F363" s="21" t="n"/>
      <c r="G363" s="21" t="n"/>
      <c r="H363" s="21" t="n"/>
      <c r="I363" s="2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20.25" customHeight="1">
      <c r="A364" s="21" t="n"/>
      <c r="B364" s="21" t="n"/>
      <c r="C364" s="21" t="n"/>
      <c r="D364" s="21" t="n"/>
      <c r="E364" s="2" t="n"/>
      <c r="F364" s="21" t="n"/>
      <c r="G364" s="21" t="n"/>
      <c r="H364" s="21" t="n"/>
      <c r="I364" s="2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20.25" customHeight="1">
      <c r="A365" s="21" t="inlineStr">
        <is>
          <t>Total Payable</t>
        </is>
      </c>
      <c r="B365" s="21" t="n"/>
      <c r="C365" s="21" t="n">
        <v>2000</v>
      </c>
      <c r="D365" s="21" t="n">
        <v>73000</v>
      </c>
      <c r="E365" s="2" t="n"/>
      <c r="F365" s="21" t="inlineStr">
        <is>
          <t>Total Payable</t>
        </is>
      </c>
      <c r="H365" t="n">
        <v>1000</v>
      </c>
      <c r="I365" s="21" t="n">
        <v>24000</v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6.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20.25" customHeight="1">
      <c r="A367" s="21" t="inlineStr">
        <is>
          <t>Name</t>
        </is>
      </c>
      <c r="B367" s="21" t="inlineStr">
        <is>
          <t>KISHANJI(3)</t>
        </is>
      </c>
      <c r="C367" s="21" t="inlineStr">
        <is>
          <t>KAMAN</t>
        </is>
      </c>
      <c r="D367" s="21" t="inlineStr">
        <is>
          <t>2026-01-15</t>
        </is>
      </c>
      <c r="E367" s="2" t="n"/>
      <c r="F367" s="21" t="inlineStr">
        <is>
          <t>Name</t>
        </is>
      </c>
      <c r="G367" s="21" t="inlineStr">
        <is>
          <t>CHENJI</t>
        </is>
      </c>
      <c r="H367" s="21" t="inlineStr">
        <is>
          <t>SURARAM</t>
        </is>
      </c>
      <c r="I367" s="21" t="inlineStr">
        <is>
          <t>2026-01-15</t>
        </is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20.25" customHeight="1">
      <c r="A368" s="21" t="inlineStr">
        <is>
          <t>Month</t>
        </is>
      </c>
      <c r="B368" s="21" t="inlineStr">
        <is>
          <t>Plan</t>
        </is>
      </c>
      <c r="C368" s="21" t="inlineStr">
        <is>
          <t>Commission</t>
        </is>
      </c>
      <c r="D368" s="21" t="inlineStr">
        <is>
          <t>Amount</t>
        </is>
      </c>
      <c r="E368" s="2" t="n"/>
      <c r="F368" s="21" t="inlineStr">
        <is>
          <t>Month</t>
        </is>
      </c>
      <c r="G368" s="21" t="inlineStr">
        <is>
          <t>Plan</t>
        </is>
      </c>
      <c r="H368" s="21" t="inlineStr">
        <is>
          <t>Commission</t>
        </is>
      </c>
      <c r="I368" s="21" t="inlineStr">
        <is>
          <t>Amount</t>
        </is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20.25" customHeight="1">
      <c r="A369" s="21" t="n">
        <v>10</v>
      </c>
      <c r="B369" s="21" t="n">
        <v>1000000</v>
      </c>
      <c r="C369" s="21" t="n">
        <v>1000</v>
      </c>
      <c r="D369" s="21" t="n">
        <v>49000</v>
      </c>
      <c r="E369" s="2" t="n"/>
      <c r="F369" s="21" t="n">
        <v>18</v>
      </c>
      <c r="G369" s="21" t="n">
        <v>500000</v>
      </c>
      <c r="H369" s="21" t="n">
        <v>1000</v>
      </c>
      <c r="I369" s="21" t="n">
        <v>24000</v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20.25" customHeight="1">
      <c r="A370" s="21" t="n">
        <v>5</v>
      </c>
      <c r="B370" s="21" t="n">
        <v>500000</v>
      </c>
      <c r="C370" s="21" t="n">
        <v>1000</v>
      </c>
      <c r="D370" s="21" t="n">
        <v>24000</v>
      </c>
      <c r="E370" s="4" t="n"/>
      <c r="F370" s="21" t="n"/>
      <c r="G370" s="21" t="n"/>
      <c r="H370" s="21" t="n"/>
      <c r="I370" s="2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20.25" customHeight="1">
      <c r="A371" s="21" t="n"/>
      <c r="B371" s="21" t="n"/>
      <c r="C371" s="21" t="n"/>
      <c r="D371" s="21" t="n"/>
      <c r="E371" s="4" t="n"/>
      <c r="F371" s="21" t="n"/>
      <c r="G371" s="21" t="n"/>
      <c r="H371" s="21" t="n"/>
      <c r="I371" s="2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20.25" customHeight="1">
      <c r="A372" s="21" t="n"/>
      <c r="B372" s="21" t="n"/>
      <c r="C372" s="21" t="n"/>
      <c r="D372" s="21" t="n"/>
      <c r="E372" s="4" t="n"/>
      <c r="F372" s="21" t="n"/>
      <c r="G372" s="21" t="n"/>
      <c r="H372" s="21" t="n"/>
      <c r="I372" s="2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20.25" customHeight="1">
      <c r="A373" s="21" t="n"/>
      <c r="B373" s="21" t="n"/>
      <c r="C373" s="21" t="n"/>
      <c r="D373" s="21" t="n"/>
      <c r="E373" s="4" t="n"/>
      <c r="F373" s="21" t="n"/>
      <c r="G373" s="21" t="n"/>
      <c r="H373" s="21" t="n"/>
      <c r="I373" s="2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20.25" customHeight="1">
      <c r="A374" s="21" t="inlineStr">
        <is>
          <t>Total Payable</t>
        </is>
      </c>
      <c r="B374" s="21" t="n"/>
      <c r="C374" s="21" t="n">
        <v>2000</v>
      </c>
      <c r="D374" s="21" t="n">
        <v>73000</v>
      </c>
      <c r="E374" s="4" t="n"/>
      <c r="F374" s="21" t="inlineStr">
        <is>
          <t>Total Payable</t>
        </is>
      </c>
      <c r="H374" t="n">
        <v>1000</v>
      </c>
      <c r="I374" s="21" t="n">
        <v>24000</v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6.5" customHeight="1">
      <c r="A375" s="2" t="n"/>
      <c r="B375" s="2" t="n"/>
      <c r="C375" s="2" t="n"/>
      <c r="D375" s="2" t="n"/>
      <c r="E375" s="4" t="n"/>
      <c r="F375" s="2" t="n"/>
      <c r="G375" s="2" t="n"/>
      <c r="H375" s="2" t="n"/>
      <c r="I375" s="2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20.25" customHeight="1">
      <c r="A376" s="21" t="inlineStr">
        <is>
          <t>Name</t>
        </is>
      </c>
      <c r="B376" s="21" t="inlineStr">
        <is>
          <t>RAMESHJI</t>
        </is>
      </c>
      <c r="C376" s="21" t="inlineStr">
        <is>
          <t>SHAPUR</t>
        </is>
      </c>
      <c r="D376" s="21" t="inlineStr">
        <is>
          <t>2026-01-15</t>
        </is>
      </c>
      <c r="E376" s="4" t="n"/>
      <c r="F376" s="21" t="inlineStr">
        <is>
          <t>Name</t>
        </is>
      </c>
      <c r="G376" s="21" t="inlineStr">
        <is>
          <t>OMJI</t>
        </is>
      </c>
      <c r="H376" s="21" t="inlineStr">
        <is>
          <t>SEC</t>
        </is>
      </c>
      <c r="I376" s="21" t="inlineStr">
        <is>
          <t>2026-01-15</t>
        </is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20.25" customHeight="1">
      <c r="A377" s="21" t="inlineStr">
        <is>
          <t>Month</t>
        </is>
      </c>
      <c r="B377" s="21" t="inlineStr">
        <is>
          <t>Plan</t>
        </is>
      </c>
      <c r="C377" s="21" t="inlineStr">
        <is>
          <t>Commission</t>
        </is>
      </c>
      <c r="D377" s="21" t="inlineStr">
        <is>
          <t>Amount</t>
        </is>
      </c>
      <c r="E377" s="4" t="n"/>
      <c r="F377" s="21" t="inlineStr">
        <is>
          <t>Month</t>
        </is>
      </c>
      <c r="G377" s="21" t="inlineStr">
        <is>
          <t>Plan</t>
        </is>
      </c>
      <c r="H377" s="21" t="inlineStr">
        <is>
          <t>Commission</t>
        </is>
      </c>
      <c r="I377" s="21" t="inlineStr">
        <is>
          <t>Amount</t>
        </is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20.25" customHeight="1">
      <c r="A378" s="21" t="n">
        <v>10</v>
      </c>
      <c r="B378" s="21" t="n">
        <v>500000</v>
      </c>
      <c r="C378" s="21" t="n">
        <v>1000</v>
      </c>
      <c r="D378" s="21" t="n">
        <v>24000</v>
      </c>
      <c r="E378" s="4" t="n"/>
      <c r="F378" s="21" t="n">
        <v>10</v>
      </c>
      <c r="G378" s="21" t="n">
        <v>500000</v>
      </c>
      <c r="H378" s="21" t="n">
        <v>1000</v>
      </c>
      <c r="I378" s="21" t="n">
        <v>24000</v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20.25" customHeight="1">
      <c r="A379" s="21" t="n"/>
      <c r="B379" s="21" t="n"/>
      <c r="C379" s="21" t="n"/>
      <c r="D379" s="21" t="n"/>
      <c r="E379" s="4" t="n"/>
      <c r="F379" s="21" t="n"/>
      <c r="G379" s="21" t="n"/>
      <c r="H379" s="21" t="n"/>
      <c r="I379" s="2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20.25" customHeight="1">
      <c r="A380" s="21" t="n"/>
      <c r="B380" s="21" t="n"/>
      <c r="C380" s="21" t="n"/>
      <c r="D380" s="21" t="n"/>
      <c r="E380" s="4" t="n"/>
      <c r="F380" s="21" t="n"/>
      <c r="G380" s="21" t="n"/>
      <c r="H380" s="21" t="n"/>
      <c r="I380" s="2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20.25" customHeight="1">
      <c r="A381" s="21" t="n"/>
      <c r="B381" s="21" t="n"/>
      <c r="C381" s="21" t="n"/>
      <c r="D381" s="21" t="n"/>
      <c r="E381" s="4" t="n"/>
      <c r="F381" s="21" t="n"/>
      <c r="G381" s="21" t="n"/>
      <c r="H381" s="21" t="n"/>
      <c r="I381" s="2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20.25" customHeight="1">
      <c r="A382" s="21" t="n"/>
      <c r="B382" s="21" t="n"/>
      <c r="C382" s="21" t="n"/>
      <c r="D382" s="21" t="n"/>
      <c r="E382" s="4" t="n"/>
      <c r="F382" s="21" t="n"/>
      <c r="G382" s="21" t="n"/>
      <c r="H382" s="21" t="n"/>
      <c r="I382" s="2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20.25" customHeight="1">
      <c r="A383" s="21" t="inlineStr">
        <is>
          <t>Total Payable</t>
        </is>
      </c>
      <c r="B383" s="21" t="n"/>
      <c r="C383" s="21" t="n">
        <v>1000</v>
      </c>
      <c r="D383" s="21" t="n">
        <v>24000</v>
      </c>
      <c r="E383" s="4" t="n"/>
      <c r="F383" s="21" t="inlineStr">
        <is>
          <t>Total Payable</t>
        </is>
      </c>
      <c r="H383" t="n">
        <v>1000</v>
      </c>
      <c r="I383" s="21" t="n">
        <v>24000</v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6.5" customHeight="1">
      <c r="A384" s="2" t="n"/>
      <c r="B384" s="2" t="n"/>
      <c r="C384" s="2" t="n"/>
      <c r="D384" s="2" t="n"/>
      <c r="E384" s="4" t="n"/>
      <c r="F384" s="2" t="n"/>
      <c r="G384" s="2" t="n"/>
      <c r="H384" s="2" t="n"/>
      <c r="I384" s="2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20.25" customHeight="1">
      <c r="A385" s="21" t="inlineStr">
        <is>
          <t>Name</t>
        </is>
      </c>
      <c r="B385" s="21" t="inlineStr">
        <is>
          <t>MISRILALJI</t>
        </is>
      </c>
      <c r="C385" s="21" t="inlineStr">
        <is>
          <t>SEC</t>
        </is>
      </c>
      <c r="D385" s="21" t="inlineStr">
        <is>
          <t>2026-01-15</t>
        </is>
      </c>
      <c r="E385" s="4" t="n"/>
      <c r="F385" s="21" t="inlineStr">
        <is>
          <t>Name</t>
        </is>
      </c>
      <c r="G385" s="21" t="inlineStr">
        <is>
          <t>MOTIJI</t>
        </is>
      </c>
      <c r="H385" s="21" t="inlineStr">
        <is>
          <t>MUSAPET</t>
        </is>
      </c>
      <c r="I385" s="21" t="inlineStr">
        <is>
          <t>2026-01-15</t>
        </is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20.25" customHeight="1">
      <c r="A386" s="21" t="inlineStr">
        <is>
          <t>Month</t>
        </is>
      </c>
      <c r="B386" s="21" t="inlineStr">
        <is>
          <t>Plan</t>
        </is>
      </c>
      <c r="C386" s="21" t="inlineStr">
        <is>
          <t>Commission</t>
        </is>
      </c>
      <c r="D386" s="21" t="inlineStr">
        <is>
          <t>Amount</t>
        </is>
      </c>
      <c r="E386" s="4" t="n"/>
      <c r="F386" s="21" t="inlineStr">
        <is>
          <t>Month</t>
        </is>
      </c>
      <c r="G386" s="21" t="inlineStr">
        <is>
          <t>Plan</t>
        </is>
      </c>
      <c r="H386" s="21" t="inlineStr">
        <is>
          <t>Commission</t>
        </is>
      </c>
      <c r="I386" s="21" t="inlineStr">
        <is>
          <t>Amount</t>
        </is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20.25" customHeight="1">
      <c r="A387" s="21" t="n">
        <v>1</v>
      </c>
      <c r="B387" s="21" t="n">
        <v>1000000</v>
      </c>
      <c r="C387" s="21" t="n">
        <v>1000</v>
      </c>
      <c r="D387" s="21" t="n">
        <v>49000</v>
      </c>
      <c r="E387" s="4" t="n"/>
      <c r="F387" s="21" t="n">
        <v>15</v>
      </c>
      <c r="G387" s="21" t="n">
        <v>500000</v>
      </c>
      <c r="H387" s="21" t="n">
        <v>500</v>
      </c>
      <c r="I387" s="21" t="n">
        <v>24500</v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20.25" customHeight="1">
      <c r="A388" s="21" t="n">
        <v>1.1</v>
      </c>
      <c r="B388" s="21" t="n">
        <v>1000000</v>
      </c>
      <c r="C388" s="21" t="n">
        <v>1000</v>
      </c>
      <c r="D388" s="21" t="n">
        <v>49000</v>
      </c>
      <c r="E388" s="4" t="n"/>
      <c r="F388" s="21" t="n"/>
      <c r="G388" s="21" t="n"/>
      <c r="H388" s="21" t="n"/>
      <c r="I388" s="2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20.25" customHeight="1">
      <c r="A389" s="21" t="n"/>
      <c r="B389" s="21" t="n"/>
      <c r="C389" s="21" t="n"/>
      <c r="D389" s="21" t="n"/>
      <c r="E389" s="4" t="n"/>
      <c r="F389" s="21" t="n"/>
      <c r="G389" s="21" t="n"/>
      <c r="H389" s="21" t="n"/>
      <c r="I389" s="2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20.25" customHeight="1">
      <c r="A390" s="21" t="n"/>
      <c r="B390" s="21" t="n"/>
      <c r="C390" s="21" t="n"/>
      <c r="D390" s="21" t="n"/>
      <c r="E390" s="4" t="n"/>
      <c r="F390" s="21" t="n"/>
      <c r="G390" s="21" t="n"/>
      <c r="H390" s="21" t="n"/>
      <c r="I390" s="2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20.25" customHeight="1">
      <c r="A391" s="21" t="n"/>
      <c r="B391" s="21" t="n"/>
      <c r="C391" s="21" t="n"/>
      <c r="D391" s="21" t="n"/>
      <c r="E391" s="4" t="n"/>
      <c r="F391" s="21" t="n"/>
      <c r="G391" s="21" t="n"/>
      <c r="H391" s="21" t="n"/>
      <c r="I391" s="2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20.25" customHeight="1">
      <c r="A392" s="14" t="inlineStr">
        <is>
          <t>TOTAL PAYABLE</t>
        </is>
      </c>
      <c r="B392" s="14" t="n"/>
      <c r="C392" s="14" t="n">
        <v>2000</v>
      </c>
      <c r="D392" s="21" t="n">
        <v>98000</v>
      </c>
      <c r="E392" s="5" t="n"/>
      <c r="F392" s="21" t="inlineStr">
        <is>
          <t>Total Payable</t>
        </is>
      </c>
      <c r="H392" t="n">
        <v>500</v>
      </c>
      <c r="I392" s="21" t="n">
        <v>24500</v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20.25" customHeight="1">
      <c r="A393" s="15" t="n"/>
      <c r="B393" s="15" t="n"/>
      <c r="C393" s="15" t="n"/>
      <c r="D393" s="21" t="n"/>
      <c r="E393" s="5" t="n"/>
      <c r="F393" s="15" t="n"/>
      <c r="G393" s="15" t="n"/>
      <c r="H393" s="15" t="n"/>
      <c r="I393" s="15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20.25" customHeight="1">
      <c r="A394" s="21" t="inlineStr">
        <is>
          <t>Name</t>
        </is>
      </c>
      <c r="B394" s="21" t="inlineStr">
        <is>
          <t>BAGDARAMJI</t>
        </is>
      </c>
      <c r="C394" s="21" t="inlineStr">
        <is>
          <t>GANDHINGR</t>
        </is>
      </c>
      <c r="D394" s="21" t="inlineStr">
        <is>
          <t>2026-01-15</t>
        </is>
      </c>
      <c r="E394" s="5" t="n"/>
      <c r="F394" s="21" t="inlineStr">
        <is>
          <t>Name</t>
        </is>
      </c>
      <c r="G394" s="21" t="inlineStr">
        <is>
          <t>KANJI</t>
        </is>
      </c>
      <c r="H394" s="21" t="inlineStr">
        <is>
          <t>SANGA RDY</t>
        </is>
      </c>
      <c r="I394" s="21" t="inlineStr">
        <is>
          <t>2026-01-15</t>
        </is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20.25" customHeight="1">
      <c r="A395" s="21" t="inlineStr">
        <is>
          <t>Month</t>
        </is>
      </c>
      <c r="B395" s="21" t="inlineStr">
        <is>
          <t>Plan</t>
        </is>
      </c>
      <c r="C395" s="21" t="inlineStr">
        <is>
          <t>Commission</t>
        </is>
      </c>
      <c r="D395" s="21" t="inlineStr">
        <is>
          <t>Amount</t>
        </is>
      </c>
      <c r="E395" s="5" t="n"/>
      <c r="F395" s="21" t="inlineStr">
        <is>
          <t>Month</t>
        </is>
      </c>
      <c r="G395" s="21" t="inlineStr">
        <is>
          <t>Plan</t>
        </is>
      </c>
      <c r="H395" s="21" t="inlineStr">
        <is>
          <t>Commission</t>
        </is>
      </c>
      <c r="I395" s="21" t="inlineStr">
        <is>
          <t>Amount</t>
        </is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20.25" customHeight="1">
      <c r="A396" s="21" t="n">
        <v>1</v>
      </c>
      <c r="B396" s="21" t="n">
        <v>1000000</v>
      </c>
      <c r="C396" s="21" t="n">
        <v>1000</v>
      </c>
      <c r="D396" s="21" t="n">
        <v>49000</v>
      </c>
      <c r="E396" s="5" t="n"/>
      <c r="F396" s="21" t="n">
        <v>10</v>
      </c>
      <c r="G396" s="21" t="n">
        <v>1000000</v>
      </c>
      <c r="H396" s="21" t="n">
        <v>1000</v>
      </c>
      <c r="I396" s="21" t="n">
        <v>49000</v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20.25" customHeight="1">
      <c r="A397" s="21" t="n"/>
      <c r="B397" s="21" t="n"/>
      <c r="C397" s="21" t="n"/>
      <c r="D397" s="21" t="n"/>
      <c r="E397" s="5" t="n"/>
      <c r="F397" s="21" t="n"/>
      <c r="G397" s="21" t="n"/>
      <c r="H397" s="21" t="n"/>
      <c r="I397" s="2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20.25" customHeight="1">
      <c r="A398" s="21" t="n"/>
      <c r="B398" s="21" t="n"/>
      <c r="C398" s="21" t="n"/>
      <c r="D398" s="21" t="n"/>
      <c r="E398" s="5" t="n"/>
      <c r="F398" s="21" t="n"/>
      <c r="G398" s="21" t="n"/>
      <c r="H398" s="21" t="n"/>
      <c r="I398" s="2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20.25" customHeight="1">
      <c r="A399" s="21" t="n"/>
      <c r="B399" s="21" t="n"/>
      <c r="C399" s="21" t="n"/>
      <c r="D399" s="21" t="n"/>
      <c r="E399" s="5" t="n"/>
      <c r="F399" s="21" t="n"/>
      <c r="G399" s="21" t="n"/>
      <c r="H399" s="21" t="n"/>
      <c r="I399" s="2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20.25" customHeight="1">
      <c r="A400" s="21" t="n"/>
      <c r="B400" s="21" t="n"/>
      <c r="C400" s="21" t="n"/>
      <c r="D400" s="21" t="n"/>
      <c r="E400" s="5" t="n"/>
      <c r="F400" s="21" t="n"/>
      <c r="G400" s="21" t="n"/>
      <c r="H400" s="21" t="n"/>
      <c r="I400" s="2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20.25" customHeight="1">
      <c r="A401" s="14" t="inlineStr">
        <is>
          <t>TOTAL PAYABLE</t>
        </is>
      </c>
      <c r="B401" s="14" t="n"/>
      <c r="C401" s="14" t="n">
        <v>1000</v>
      </c>
      <c r="D401" s="21" t="n">
        <v>49000</v>
      </c>
      <c r="E401" s="5" t="n"/>
      <c r="F401" s="21" t="inlineStr">
        <is>
          <t>Total Payable</t>
        </is>
      </c>
      <c r="H401" t="n">
        <v>1000</v>
      </c>
      <c r="I401" s="21" t="n">
        <v>49000</v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20.25" customHeight="1">
      <c r="A402" s="15" t="n"/>
      <c r="B402" s="15" t="n"/>
      <c r="C402" s="15" t="n"/>
      <c r="D402" s="15" t="n"/>
      <c r="E402" s="5" t="n"/>
      <c r="F402" s="21" t="n"/>
      <c r="G402" s="21" t="n"/>
      <c r="H402" s="21" t="n"/>
      <c r="I402" s="2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20.25" customHeight="1">
      <c r="A403" s="14" t="inlineStr">
        <is>
          <t>Name</t>
        </is>
      </c>
      <c r="B403" s="14" t="inlineStr">
        <is>
          <t>NEMARANJI</t>
        </is>
      </c>
      <c r="C403" s="14" t="inlineStr">
        <is>
          <t>INDERSUM</t>
        </is>
      </c>
      <c r="D403" s="21" t="inlineStr">
        <is>
          <t>2026-01-15</t>
        </is>
      </c>
      <c r="E403" s="5" t="n"/>
      <c r="F403" s="21" t="inlineStr">
        <is>
          <t>Name</t>
        </is>
      </c>
      <c r="G403" s="21" t="inlineStr">
        <is>
          <t>BUDARAMJI</t>
        </is>
      </c>
      <c r="H403" s="21" t="inlineStr">
        <is>
          <t>PADMA NR</t>
        </is>
      </c>
      <c r="I403" s="21" t="inlineStr">
        <is>
          <t>2026-01-15</t>
        </is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20.25" customHeight="1">
      <c r="A404" s="21" t="inlineStr">
        <is>
          <t>Month</t>
        </is>
      </c>
      <c r="B404" s="21" t="inlineStr">
        <is>
          <t>Plan</t>
        </is>
      </c>
      <c r="C404" s="21" t="inlineStr">
        <is>
          <t>Commission</t>
        </is>
      </c>
      <c r="D404" s="21" t="inlineStr">
        <is>
          <t>Amount</t>
        </is>
      </c>
      <c r="E404" s="5" t="n"/>
      <c r="F404" s="21" t="inlineStr">
        <is>
          <t>Month</t>
        </is>
      </c>
      <c r="G404" s="21" t="inlineStr">
        <is>
          <t>Plan</t>
        </is>
      </c>
      <c r="H404" s="21" t="inlineStr">
        <is>
          <t>Commission</t>
        </is>
      </c>
      <c r="I404" s="21" t="inlineStr">
        <is>
          <t>Amount</t>
        </is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20.25" customHeight="1">
      <c r="A405" s="21" t="n">
        <v>1.1</v>
      </c>
      <c r="B405" s="21" t="n">
        <v>1000000</v>
      </c>
      <c r="C405" s="21" t="n">
        <v>1000</v>
      </c>
      <c r="D405" s="21" t="n">
        <v>49000</v>
      </c>
      <c r="E405" s="5" t="n"/>
      <c r="F405" s="21" t="n">
        <v>1</v>
      </c>
      <c r="G405" s="21" t="n">
        <v>500000</v>
      </c>
      <c r="H405" s="21" t="n">
        <v>1000</v>
      </c>
      <c r="I405" s="21" t="n">
        <v>24000</v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20.25" customHeight="1">
      <c r="A406" s="21" t="n"/>
      <c r="B406" s="21" t="n"/>
      <c r="C406" s="21" t="n"/>
      <c r="D406" s="21" t="n"/>
      <c r="E406" s="5" t="n"/>
      <c r="F406" s="21" t="n">
        <v>5</v>
      </c>
      <c r="G406" s="21" t="n">
        <v>500000</v>
      </c>
      <c r="H406" s="21" t="n">
        <v>1000</v>
      </c>
      <c r="I406" s="21" t="n">
        <v>24000</v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20.25" customHeight="1">
      <c r="A407" s="21" t="n"/>
      <c r="B407" s="21" t="n"/>
      <c r="C407" s="21" t="n"/>
      <c r="D407" s="21" t="n"/>
      <c r="E407" s="5" t="n"/>
      <c r="F407" s="21" t="n"/>
      <c r="G407" s="21" t="n"/>
      <c r="H407" s="21" t="n"/>
      <c r="I407" s="2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20.25" customHeight="1">
      <c r="A408" s="21" t="n"/>
      <c r="B408" s="21" t="n"/>
      <c r="C408" s="21" t="n"/>
      <c r="D408" s="21" t="n"/>
      <c r="E408" s="5" t="n"/>
      <c r="F408" s="21" t="n"/>
      <c r="G408" s="21" t="n"/>
      <c r="H408" s="21" t="n"/>
      <c r="I408" s="2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20.25" customHeight="1">
      <c r="A409" s="21" t="n"/>
      <c r="B409" s="21" t="n"/>
      <c r="C409" s="21" t="n"/>
      <c r="D409" s="21" t="n"/>
      <c r="E409" s="5" t="n"/>
      <c r="F409" s="21" t="n"/>
      <c r="G409" s="21" t="n"/>
      <c r="H409" s="21" t="n"/>
      <c r="I409" s="2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20.25" customHeight="1">
      <c r="A410" s="14" t="inlineStr">
        <is>
          <t>TOTAL PAYABLE</t>
        </is>
      </c>
      <c r="B410" s="14" t="n"/>
      <c r="C410" s="14" t="n">
        <v>1000</v>
      </c>
      <c r="D410" s="21" t="n">
        <v>49000</v>
      </c>
      <c r="E410" s="5" t="n"/>
      <c r="F410" s="21" t="inlineStr">
        <is>
          <t>Total Payable</t>
        </is>
      </c>
      <c r="H410" t="n">
        <v>2000</v>
      </c>
      <c r="I410" s="21" t="n">
        <v>48000</v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6.5" customHeight="1">
      <c r="A411" s="15" t="n"/>
      <c r="B411" s="15" t="n"/>
      <c r="C411" s="15" t="n"/>
      <c r="D411" s="15" t="n"/>
      <c r="E411" s="5" t="n"/>
      <c r="F411" s="15" t="n"/>
      <c r="G411" s="15" t="n"/>
      <c r="H411" s="15" t="n"/>
      <c r="I411" s="15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20.25" customHeight="1">
      <c r="A412" s="14" t="inlineStr">
        <is>
          <t>Name</t>
        </is>
      </c>
      <c r="B412" s="14" t="inlineStr">
        <is>
          <t>HEMANTJI</t>
        </is>
      </c>
      <c r="C412" s="14" t="inlineStr">
        <is>
          <t>SURARAM</t>
        </is>
      </c>
      <c r="D412" s="21" t="inlineStr">
        <is>
          <t>2026-01-15</t>
        </is>
      </c>
      <c r="E412" s="5" t="n"/>
      <c r="F412" s="21" t="inlineStr">
        <is>
          <t>Name</t>
        </is>
      </c>
      <c r="G412" s="21" t="inlineStr">
        <is>
          <t>KEWALJI</t>
        </is>
      </c>
      <c r="H412" s="21" t="inlineStr">
        <is>
          <t>GOMARAM</t>
        </is>
      </c>
      <c r="I412" s="21" t="inlineStr">
        <is>
          <t>2026-01-15</t>
        </is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20.25" customHeight="1">
      <c r="A413" s="21" t="inlineStr">
        <is>
          <t>Month</t>
        </is>
      </c>
      <c r="B413" s="21" t="inlineStr">
        <is>
          <t>Plan</t>
        </is>
      </c>
      <c r="C413" s="21" t="inlineStr">
        <is>
          <t>Commission</t>
        </is>
      </c>
      <c r="D413" s="21" t="inlineStr">
        <is>
          <t>Amount</t>
        </is>
      </c>
      <c r="E413" s="5" t="n"/>
      <c r="F413" s="21" t="inlineStr">
        <is>
          <t>Month</t>
        </is>
      </c>
      <c r="G413" s="21" t="inlineStr">
        <is>
          <t>Plan</t>
        </is>
      </c>
      <c r="H413" s="21" t="inlineStr">
        <is>
          <t>Commission</t>
        </is>
      </c>
      <c r="I413" s="21" t="inlineStr">
        <is>
          <t>Amount</t>
        </is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20.25" customHeight="1">
      <c r="A414" s="21" t="n">
        <v>10</v>
      </c>
      <c r="B414" s="21" t="n">
        <v>500000</v>
      </c>
      <c r="C414" s="21" t="n">
        <v>1000</v>
      </c>
      <c r="D414" s="21" t="n">
        <v>24000</v>
      </c>
      <c r="E414" s="5" t="n"/>
      <c r="F414" s="21" t="n">
        <v>5</v>
      </c>
      <c r="G414" s="21" t="n">
        <v>1000000</v>
      </c>
      <c r="H414" s="21" t="n">
        <v>1000</v>
      </c>
      <c r="I414" s="21" t="n">
        <v>49000</v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20.25" customHeight="1">
      <c r="A415" s="21" t="n"/>
      <c r="B415" s="21" t="n"/>
      <c r="C415" s="21" t="n"/>
      <c r="D415" s="21" t="n"/>
      <c r="E415" s="5" t="n"/>
      <c r="F415" s="21" t="n"/>
      <c r="G415" s="21" t="n"/>
      <c r="H415" s="21" t="n"/>
      <c r="I415" s="2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20.25" customHeight="1">
      <c r="A416" s="21" t="n"/>
      <c r="B416" s="21" t="n"/>
      <c r="C416" s="21" t="n"/>
      <c r="D416" s="21" t="n"/>
      <c r="E416" s="5" t="n"/>
      <c r="F416" s="21" t="n"/>
      <c r="G416" s="21" t="n"/>
      <c r="H416" s="21" t="n"/>
      <c r="I416" s="2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20.25" customHeight="1">
      <c r="A417" s="21" t="n"/>
      <c r="B417" s="21" t="n"/>
      <c r="C417" s="21" t="n"/>
      <c r="D417" s="21" t="n"/>
      <c r="E417" s="5" t="n"/>
      <c r="F417" s="21" t="n"/>
      <c r="G417" s="21" t="n"/>
      <c r="H417" s="21" t="n"/>
      <c r="I417" s="2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20.25" customHeight="1">
      <c r="A418" s="21" t="n"/>
      <c r="B418" s="21" t="n"/>
      <c r="C418" s="21" t="n"/>
      <c r="D418" s="21" t="n"/>
      <c r="E418" s="5" t="n"/>
      <c r="F418" s="21" t="n"/>
      <c r="G418" s="21" t="n"/>
      <c r="H418" s="21" t="n"/>
      <c r="I418" s="2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20.25" customHeight="1">
      <c r="A419" s="14" t="inlineStr">
        <is>
          <t>TOTAL PAYABLE</t>
        </is>
      </c>
      <c r="B419" s="14" t="n"/>
      <c r="C419" s="14" t="n">
        <v>1000</v>
      </c>
      <c r="D419" s="21" t="n">
        <v>24000</v>
      </c>
      <c r="E419" s="5" t="n"/>
      <c r="F419" s="21" t="inlineStr">
        <is>
          <t>Total Payable</t>
        </is>
      </c>
      <c r="H419" t="n">
        <v>1000</v>
      </c>
      <c r="I419" s="21" t="n">
        <v>49000</v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6.5" customHeight="1">
      <c r="A420" s="15" t="n"/>
      <c r="B420" s="15" t="n"/>
      <c r="C420" s="15" t="n"/>
      <c r="D420" s="15" t="n"/>
      <c r="E420" s="5" t="n"/>
      <c r="F420" s="15" t="n"/>
      <c r="G420" s="15" t="n"/>
      <c r="H420" s="15" t="n"/>
      <c r="I420" s="15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20.25" customHeight="1">
      <c r="A421" s="14" t="inlineStr">
        <is>
          <t>Name</t>
        </is>
      </c>
      <c r="B421" s="14" t="inlineStr">
        <is>
          <t>RAJUJI</t>
        </is>
      </c>
      <c r="C421" s="14" t="inlineStr">
        <is>
          <t>SHAPUR</t>
        </is>
      </c>
      <c r="D421" s="21" t="inlineStr">
        <is>
          <t>2026-01-15</t>
        </is>
      </c>
      <c r="E421" s="5" t="n"/>
      <c r="F421" s="14" t="inlineStr">
        <is>
          <t>Name</t>
        </is>
      </c>
      <c r="G421" s="14" t="inlineStr">
        <is>
          <t>SESHARAMJI</t>
        </is>
      </c>
      <c r="H421" s="14" t="inlineStr">
        <is>
          <t>J GUTTA</t>
        </is>
      </c>
      <c r="I421" s="21" t="inlineStr">
        <is>
          <t>2026-01-15</t>
        </is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20.25" customHeight="1">
      <c r="A422" s="21" t="inlineStr">
        <is>
          <t>Month</t>
        </is>
      </c>
      <c r="B422" s="21" t="inlineStr">
        <is>
          <t>Plan</t>
        </is>
      </c>
      <c r="C422" s="21" t="inlineStr">
        <is>
          <t>Commission</t>
        </is>
      </c>
      <c r="D422" s="21" t="inlineStr">
        <is>
          <t>Amount</t>
        </is>
      </c>
      <c r="E422" s="5" t="n"/>
      <c r="F422" s="21" t="inlineStr">
        <is>
          <t>Month</t>
        </is>
      </c>
      <c r="G422" s="21" t="inlineStr">
        <is>
          <t>Plan</t>
        </is>
      </c>
      <c r="H422" s="21" t="inlineStr">
        <is>
          <t>Commission</t>
        </is>
      </c>
      <c r="I422" s="21" t="inlineStr">
        <is>
          <t>Amount</t>
        </is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20.25" customHeight="1">
      <c r="A423" s="21" t="n">
        <v>10</v>
      </c>
      <c r="B423" s="21" t="n">
        <v>1000000</v>
      </c>
      <c r="C423" s="21" t="n">
        <v>1000</v>
      </c>
      <c r="D423" s="21" t="n">
        <v>49000</v>
      </c>
      <c r="E423" s="5" t="n"/>
      <c r="F423" s="21" t="n">
        <v>10</v>
      </c>
      <c r="G423" s="21" t="n">
        <v>2000000</v>
      </c>
      <c r="H423" s="21" t="n">
        <v>1000</v>
      </c>
      <c r="I423" s="21" t="n">
        <v>99000</v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20.25" customHeight="1">
      <c r="A424" s="21" t="n"/>
      <c r="B424" s="21" t="n"/>
      <c r="C424" s="21" t="n"/>
      <c r="D424" s="21" t="n"/>
      <c r="E424" s="5" t="n"/>
      <c r="F424" s="21" t="n"/>
      <c r="G424" s="21" t="n"/>
      <c r="H424" s="21" t="n"/>
      <c r="I424" s="2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20.25" customHeight="1">
      <c r="A425" s="21" t="n"/>
      <c r="B425" s="21" t="n"/>
      <c r="C425" s="21" t="n"/>
      <c r="D425" s="21" t="n"/>
      <c r="E425" s="5" t="n"/>
      <c r="F425" s="21" t="n"/>
      <c r="G425" s="21" t="n"/>
      <c r="H425" s="21" t="n"/>
      <c r="I425" s="2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20.25" customHeight="1">
      <c r="A426" s="21" t="n"/>
      <c r="B426" s="21" t="n"/>
      <c r="C426" s="21" t="n"/>
      <c r="D426" s="21" t="n"/>
      <c r="E426" s="5" t="n"/>
      <c r="F426" s="21" t="n"/>
      <c r="G426" s="21" t="n"/>
      <c r="H426" s="21" t="n"/>
      <c r="I426" s="2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20.25" customHeight="1">
      <c r="A427" s="21" t="n"/>
      <c r="B427" s="21" t="n"/>
      <c r="C427" s="21" t="n"/>
      <c r="D427" s="21" t="n"/>
      <c r="E427" s="5" t="n"/>
      <c r="F427" s="21" t="n"/>
      <c r="G427" s="21" t="n"/>
      <c r="H427" s="21" t="n"/>
      <c r="I427" s="2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20.25" customHeight="1">
      <c r="A428" s="14" t="inlineStr">
        <is>
          <t>TOTAL PAYABLE</t>
        </is>
      </c>
      <c r="B428" s="14" t="n"/>
      <c r="C428" s="14" t="n">
        <v>1000</v>
      </c>
      <c r="D428" s="21" t="n">
        <v>49000</v>
      </c>
      <c r="E428" s="5" t="n"/>
      <c r="F428" s="14" t="inlineStr">
        <is>
          <t>TOTAL PAYABLE</t>
        </is>
      </c>
      <c r="H428" t="n">
        <v>1000</v>
      </c>
      <c r="I428" s="21" t="n">
        <v>99000</v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6.5" customHeight="1">
      <c r="A429" s="15" t="n"/>
      <c r="B429" s="15" t="n"/>
      <c r="C429" s="15" t="n"/>
      <c r="D429" s="15" t="n"/>
      <c r="E429" s="5" t="n"/>
      <c r="F429" s="15" t="n"/>
      <c r="G429" s="15" t="n"/>
      <c r="H429" s="15" t="n"/>
      <c r="I429" s="15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20.25" customHeight="1">
      <c r="A430" s="14" t="inlineStr">
        <is>
          <t>Name</t>
        </is>
      </c>
      <c r="B430" s="14" t="inlineStr">
        <is>
          <t>GOUTAMJI</t>
        </is>
      </c>
      <c r="C430" s="14" t="inlineStr">
        <is>
          <t>RAMARAM</t>
        </is>
      </c>
      <c r="D430" s="21" t="inlineStr">
        <is>
          <t>2026-01-15</t>
        </is>
      </c>
      <c r="E430" s="5" t="n"/>
      <c r="F430" s="14" t="inlineStr">
        <is>
          <t>Name</t>
        </is>
      </c>
      <c r="G430" s="14" t="inlineStr">
        <is>
          <t>PRAKASHJI</t>
        </is>
      </c>
      <c r="H430" s="14" t="inlineStr">
        <is>
          <t>INDARSAM</t>
        </is>
      </c>
      <c r="I430" s="21" t="inlineStr">
        <is>
          <t>2026-01-15</t>
        </is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20.25" customHeight="1">
      <c r="A431" s="21" t="inlineStr">
        <is>
          <t>Month</t>
        </is>
      </c>
      <c r="B431" s="21" t="inlineStr">
        <is>
          <t>Plan</t>
        </is>
      </c>
      <c r="C431" s="21" t="inlineStr">
        <is>
          <t>Commission</t>
        </is>
      </c>
      <c r="D431" s="21" t="inlineStr">
        <is>
          <t>Amount</t>
        </is>
      </c>
      <c r="E431" s="5" t="n"/>
      <c r="F431" s="21" t="inlineStr">
        <is>
          <t>Month</t>
        </is>
      </c>
      <c r="G431" s="21" t="inlineStr">
        <is>
          <t>Plan</t>
        </is>
      </c>
      <c r="H431" s="21" t="inlineStr">
        <is>
          <t>Commission</t>
        </is>
      </c>
      <c r="I431" s="21" t="inlineStr">
        <is>
          <t>Amount</t>
        </is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20.25" customHeight="1">
      <c r="A432" s="21" t="n">
        <v>10</v>
      </c>
      <c r="B432" s="21" t="n">
        <v>1000000</v>
      </c>
      <c r="C432" s="21" t="n">
        <v>1000</v>
      </c>
      <c r="D432" s="21" t="n">
        <v>49000</v>
      </c>
      <c r="E432" s="5" t="n"/>
      <c r="F432" s="21" t="n">
        <v>10</v>
      </c>
      <c r="G432" s="21" t="n">
        <v>1000000</v>
      </c>
      <c r="H432" s="21" t="n">
        <v>1000</v>
      </c>
      <c r="I432" s="21" t="n">
        <v>49000</v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20.25" customHeight="1">
      <c r="A433" s="21" t="n"/>
      <c r="B433" s="21" t="n"/>
      <c r="C433" s="21" t="n"/>
      <c r="D433" s="21" t="n"/>
      <c r="E433" s="5" t="n"/>
      <c r="F433" s="21" t="n"/>
      <c r="G433" s="21" t="n"/>
      <c r="H433" s="21" t="n"/>
      <c r="I433" s="2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20.25" customHeight="1">
      <c r="A434" s="21" t="n"/>
      <c r="B434" s="21" t="n"/>
      <c r="C434" s="21" t="n"/>
      <c r="D434" s="21" t="n"/>
      <c r="E434" s="5" t="n"/>
      <c r="F434" s="21" t="n"/>
      <c r="G434" s="21" t="n"/>
      <c r="H434" s="21" t="n"/>
      <c r="I434" s="2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20.25" customHeight="1">
      <c r="A435" s="21" t="n"/>
      <c r="B435" s="21" t="n"/>
      <c r="C435" s="21" t="n"/>
      <c r="D435" s="21" t="n"/>
      <c r="E435" s="5" t="n"/>
      <c r="F435" s="21" t="n"/>
      <c r="G435" s="21" t="n"/>
      <c r="H435" s="21" t="n"/>
      <c r="I435" s="2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20.25" customHeight="1">
      <c r="A436" s="21" t="n"/>
      <c r="B436" s="21" t="n"/>
      <c r="C436" s="21" t="n"/>
      <c r="D436" s="21" t="n"/>
      <c r="E436" s="5" t="n"/>
      <c r="F436" s="21" t="n"/>
      <c r="G436" s="21" t="n"/>
      <c r="H436" s="21" t="n"/>
      <c r="I436" s="2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20.25" customHeight="1">
      <c r="A437" s="14" t="inlineStr">
        <is>
          <t>TOTAL PAYABLE</t>
        </is>
      </c>
      <c r="B437" s="14" t="n"/>
      <c r="C437" s="14" t="n">
        <v>1000</v>
      </c>
      <c r="D437" s="21" t="n">
        <v>49000</v>
      </c>
      <c r="E437" s="5" t="n"/>
      <c r="F437" s="14" t="inlineStr">
        <is>
          <t>TOTAL PAYABLE</t>
        </is>
      </c>
      <c r="H437" t="n">
        <v>1000</v>
      </c>
      <c r="I437" s="21" t="n">
        <v>49000</v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20.25" customHeight="1">
      <c r="A438" s="15" t="n"/>
      <c r="B438" s="14" t="n"/>
      <c r="C438" s="15" t="n"/>
      <c r="D438" s="21" t="n"/>
      <c r="E438" s="5" t="n"/>
      <c r="F438" s="15" t="n"/>
      <c r="G438" s="15" t="n"/>
      <c r="H438" s="15" t="n"/>
      <c r="I438" s="15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20.25" customHeight="1">
      <c r="A439" s="14" t="inlineStr">
        <is>
          <t>Name</t>
        </is>
      </c>
      <c r="B439" s="14" t="inlineStr">
        <is>
          <t>BHERARAMJI</t>
        </is>
      </c>
      <c r="C439" s="14" t="inlineStr">
        <is>
          <t>SURARAM</t>
        </is>
      </c>
      <c r="D439" s="21" t="inlineStr">
        <is>
          <t>2026-01-15</t>
        </is>
      </c>
      <c r="E439" s="5" t="n"/>
      <c r="F439" s="14" t="inlineStr">
        <is>
          <t>Name</t>
        </is>
      </c>
      <c r="G439" s="14" t="inlineStr">
        <is>
          <t>TARJI (R J)</t>
        </is>
      </c>
      <c r="H439" s="14" t="inlineStr">
        <is>
          <t>SURARAM</t>
        </is>
      </c>
      <c r="I439" s="21" t="inlineStr">
        <is>
          <t>2026-01-15</t>
        </is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20.25" customHeight="1">
      <c r="A440" s="21" t="inlineStr">
        <is>
          <t>Month</t>
        </is>
      </c>
      <c r="B440" s="21" t="inlineStr">
        <is>
          <t>Plan</t>
        </is>
      </c>
      <c r="C440" s="21" t="inlineStr">
        <is>
          <t>Commission</t>
        </is>
      </c>
      <c r="D440" s="21" t="inlineStr">
        <is>
          <t>Amount</t>
        </is>
      </c>
      <c r="E440" s="5" t="n"/>
      <c r="F440" s="21" t="inlineStr">
        <is>
          <t>Month</t>
        </is>
      </c>
      <c r="G440" s="21" t="inlineStr">
        <is>
          <t>Plan</t>
        </is>
      </c>
      <c r="H440" s="21" t="inlineStr">
        <is>
          <t>Commission</t>
        </is>
      </c>
      <c r="I440" s="21" t="inlineStr">
        <is>
          <t>Amount</t>
        </is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20.25" customHeight="1">
      <c r="A441" s="21" t="n">
        <v>5</v>
      </c>
      <c r="B441" s="21" t="n">
        <v>500000</v>
      </c>
      <c r="C441" s="21" t="n">
        <v>1000</v>
      </c>
      <c r="D441" s="21" t="n">
        <v>24000</v>
      </c>
      <c r="E441" s="5" t="n"/>
      <c r="F441" s="21" t="n">
        <v>10</v>
      </c>
      <c r="G441" s="21" t="n">
        <v>2000000</v>
      </c>
      <c r="H441" s="21" t="n">
        <v>1000</v>
      </c>
      <c r="I441" s="21" t="n">
        <v>99000</v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20.25" customHeight="1">
      <c r="A442" s="21" t="n"/>
      <c r="B442" s="21" t="n"/>
      <c r="C442" s="21" t="n"/>
      <c r="D442" s="21" t="n"/>
      <c r="E442" s="5" t="n"/>
      <c r="F442" s="21" t="n"/>
      <c r="G442" s="21" t="n"/>
      <c r="H442" s="21" t="n"/>
      <c r="I442" s="2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20.25" customHeight="1">
      <c r="A443" s="21" t="n"/>
      <c r="B443" s="21" t="n"/>
      <c r="C443" s="21" t="n"/>
      <c r="D443" s="21" t="n"/>
      <c r="E443" s="5" t="n"/>
      <c r="F443" s="21" t="n"/>
      <c r="G443" s="21" t="n"/>
      <c r="H443" s="21" t="n"/>
      <c r="I443" s="2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20.25" customHeight="1">
      <c r="A444" s="21" t="n"/>
      <c r="B444" s="21" t="n"/>
      <c r="C444" s="21" t="n"/>
      <c r="D444" s="21" t="n"/>
      <c r="E444" s="5" t="n"/>
      <c r="F444" s="21" t="n"/>
      <c r="G444" s="21" t="n"/>
      <c r="H444" s="21" t="n"/>
      <c r="I444" s="2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20.25" customHeight="1">
      <c r="A445" s="21" t="n"/>
      <c r="B445" s="21" t="n"/>
      <c r="C445" s="21" t="n"/>
      <c r="D445" s="21" t="n"/>
      <c r="E445" s="5" t="n"/>
      <c r="F445" s="21" t="n"/>
      <c r="G445" s="21" t="n"/>
      <c r="H445" s="21" t="n"/>
      <c r="I445" s="2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20.25" customHeight="1">
      <c r="A446" s="14" t="inlineStr">
        <is>
          <t>TOTAL PAYABLE</t>
        </is>
      </c>
      <c r="B446" s="14" t="n"/>
      <c r="C446" s="14" t="n">
        <v>1000</v>
      </c>
      <c r="D446" s="21" t="n">
        <v>24000</v>
      </c>
      <c r="E446" s="5" t="n"/>
      <c r="F446" s="14" t="inlineStr">
        <is>
          <t>TOTAL PAYABLE</t>
        </is>
      </c>
      <c r="H446" t="n">
        <v>1000</v>
      </c>
      <c r="I446" s="21" t="n">
        <v>99000</v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20.25" customHeight="1">
      <c r="A447" s="15" t="n"/>
      <c r="B447" s="15" t="n"/>
      <c r="C447" s="15" t="n"/>
      <c r="D447" s="15" t="n"/>
      <c r="E447" s="5" t="n"/>
      <c r="F447" s="15" t="n"/>
      <c r="G447" s="14" t="n"/>
      <c r="H447" s="15" t="n"/>
      <c r="I447" s="2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20.25" customHeight="1">
      <c r="A448" s="14" t="inlineStr">
        <is>
          <t>Name</t>
        </is>
      </c>
      <c r="B448" s="14" t="inlineStr">
        <is>
          <t>MISRILALJI</t>
        </is>
      </c>
      <c r="C448" s="14" t="inlineStr">
        <is>
          <t>GUTTA</t>
        </is>
      </c>
      <c r="D448" s="21" t="inlineStr">
        <is>
          <t>2026-01-15</t>
        </is>
      </c>
      <c r="E448" s="5" t="n"/>
      <c r="F448" s="14" t="inlineStr">
        <is>
          <t>Name</t>
        </is>
      </c>
      <c r="G448" s="14" t="inlineStr">
        <is>
          <t>RAKESHDASHJI</t>
        </is>
      </c>
      <c r="H448" s="14" t="inlineStr">
        <is>
          <t>GUTTA</t>
        </is>
      </c>
      <c r="I448" s="21" t="inlineStr">
        <is>
          <t>2026-01-15</t>
        </is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20.25" customHeight="1">
      <c r="A449" s="21" t="inlineStr">
        <is>
          <t>Month</t>
        </is>
      </c>
      <c r="B449" s="21" t="inlineStr">
        <is>
          <t>Plan</t>
        </is>
      </c>
      <c r="C449" s="21" t="inlineStr">
        <is>
          <t>Commission</t>
        </is>
      </c>
      <c r="D449" s="21" t="inlineStr">
        <is>
          <t>Amount</t>
        </is>
      </c>
      <c r="E449" s="5" t="n"/>
      <c r="F449" s="21" t="inlineStr">
        <is>
          <t>Month</t>
        </is>
      </c>
      <c r="G449" s="21" t="inlineStr">
        <is>
          <t>Plan</t>
        </is>
      </c>
      <c r="H449" s="21" t="inlineStr">
        <is>
          <t>Commission</t>
        </is>
      </c>
      <c r="I449" s="21" t="inlineStr">
        <is>
          <t>Amount</t>
        </is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20.25" customHeight="1">
      <c r="A450" s="21" t="n">
        <v>5</v>
      </c>
      <c r="B450" s="21" t="n">
        <v>1000000</v>
      </c>
      <c r="C450" s="21" t="n">
        <v>1000</v>
      </c>
      <c r="D450" s="21" t="n">
        <v>49000</v>
      </c>
      <c r="E450" s="5" t="n"/>
      <c r="F450" s="21" t="n">
        <v>5.1</v>
      </c>
      <c r="G450" s="21" t="n">
        <v>1000000</v>
      </c>
      <c r="H450" s="21" t="n">
        <v>1000</v>
      </c>
      <c r="I450" s="21" t="n">
        <v>49000</v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20.25" customHeight="1">
      <c r="A451" s="21" t="n"/>
      <c r="B451" s="21" t="n"/>
      <c r="C451" s="21" t="n"/>
      <c r="D451" s="21" t="n"/>
      <c r="E451" s="5" t="n"/>
      <c r="F451" s="21" t="n"/>
      <c r="G451" s="21" t="n"/>
      <c r="H451" s="21" t="n"/>
      <c r="I451" s="2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20.25" customHeight="1">
      <c r="A452" s="21" t="n"/>
      <c r="B452" s="21" t="n"/>
      <c r="C452" s="21" t="n"/>
      <c r="D452" s="21" t="n"/>
      <c r="E452" s="5" t="n"/>
      <c r="F452" s="21" t="n"/>
      <c r="G452" s="21" t="n"/>
      <c r="H452" s="21" t="n"/>
      <c r="I452" s="2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20.25" customHeight="1">
      <c r="A453" s="21" t="n"/>
      <c r="B453" s="21" t="n"/>
      <c r="C453" s="21" t="n"/>
      <c r="D453" s="21" t="n"/>
      <c r="E453" s="5" t="n"/>
      <c r="F453" s="21" t="n"/>
      <c r="G453" s="21" t="n"/>
      <c r="H453" s="21" t="n"/>
      <c r="I453" s="2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20.25" customHeight="1">
      <c r="A454" s="21" t="n"/>
      <c r="B454" s="21" t="n"/>
      <c r="C454" s="21" t="n"/>
      <c r="D454" s="21" t="n"/>
      <c r="E454" s="5" t="n"/>
      <c r="F454" s="21" t="n"/>
      <c r="G454" s="21" t="n"/>
      <c r="H454" s="21" t="n"/>
      <c r="I454" s="2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20.25" customHeight="1">
      <c r="A455" s="14" t="inlineStr">
        <is>
          <t>TOTAL PAYABLE</t>
        </is>
      </c>
      <c r="B455" s="14" t="n"/>
      <c r="C455" s="14" t="n">
        <v>1000</v>
      </c>
      <c r="D455" s="21" t="n">
        <v>49000</v>
      </c>
      <c r="E455" s="5" t="n"/>
      <c r="F455" s="14" t="inlineStr">
        <is>
          <t>TOTAL PAYABLE</t>
        </is>
      </c>
      <c r="H455" t="n">
        <v>1000</v>
      </c>
      <c r="I455" s="21" t="n">
        <v>49000</v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6.5" customHeight="1">
      <c r="A456" s="15" t="n"/>
      <c r="B456" s="15" t="n"/>
      <c r="C456" s="15" t="n"/>
      <c r="D456" s="15" t="n"/>
      <c r="E456" s="5" t="n"/>
      <c r="F456" s="15" t="n"/>
      <c r="G456" s="15" t="n"/>
      <c r="H456" s="15" t="n"/>
      <c r="I456" s="15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20.25" customHeight="1">
      <c r="A457" s="14" t="inlineStr">
        <is>
          <t>Name</t>
        </is>
      </c>
      <c r="B457" s="14" t="inlineStr">
        <is>
          <t>RAMESHJI</t>
        </is>
      </c>
      <c r="C457" s="14" t="inlineStr">
        <is>
          <t>BOOK GUTA</t>
        </is>
      </c>
      <c r="D457" s="21" t="inlineStr">
        <is>
          <t>2026-01-15</t>
        </is>
      </c>
      <c r="E457" s="5" t="n"/>
      <c r="F457" s="14" t="inlineStr">
        <is>
          <t>Name</t>
        </is>
      </c>
      <c r="G457" s="14" t="inlineStr">
        <is>
          <t>HEERJI</t>
        </is>
      </c>
      <c r="H457" s="14" t="inlineStr">
        <is>
          <t>HANUMAN NG</t>
        </is>
      </c>
      <c r="I457" s="21" t="inlineStr">
        <is>
          <t>2026-01-15</t>
        </is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20.25" customHeight="1">
      <c r="A458" s="21" t="inlineStr">
        <is>
          <t>Month</t>
        </is>
      </c>
      <c r="B458" s="21" t="inlineStr">
        <is>
          <t>Plan</t>
        </is>
      </c>
      <c r="C458" s="21" t="inlineStr">
        <is>
          <t>Commission</t>
        </is>
      </c>
      <c r="D458" s="21" t="inlineStr">
        <is>
          <t>Amount</t>
        </is>
      </c>
      <c r="E458" s="5" t="n"/>
      <c r="F458" s="21" t="inlineStr">
        <is>
          <t>Month</t>
        </is>
      </c>
      <c r="G458" s="21" t="inlineStr">
        <is>
          <t>Plan</t>
        </is>
      </c>
      <c r="H458" s="21" t="inlineStr">
        <is>
          <t>Commission</t>
        </is>
      </c>
      <c r="I458" s="21" t="inlineStr">
        <is>
          <t>Amount</t>
        </is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20.25" customHeight="1">
      <c r="A459" s="21" t="n">
        <v>1</v>
      </c>
      <c r="B459" s="21" t="n">
        <v>500000</v>
      </c>
      <c r="C459" s="21" t="n">
        <v>1000</v>
      </c>
      <c r="D459" s="21" t="n">
        <v>24000</v>
      </c>
      <c r="E459" s="5" t="n"/>
      <c r="F459" s="21" t="n">
        <v>10</v>
      </c>
      <c r="G459" s="21" t="n">
        <v>1000000</v>
      </c>
      <c r="H459" s="21" t="n">
        <v>1000</v>
      </c>
      <c r="I459" s="21" t="n">
        <v>49000</v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20.25" customHeight="1">
      <c r="A460" s="21" t="n">
        <v>10</v>
      </c>
      <c r="B460" s="21" t="n">
        <v>1000000</v>
      </c>
      <c r="C460" s="21" t="n">
        <v>1000</v>
      </c>
      <c r="D460" s="21" t="n">
        <v>49000</v>
      </c>
      <c r="E460" s="5" t="n"/>
      <c r="F460" s="21" t="n"/>
      <c r="G460" s="21" t="n"/>
      <c r="H460" s="21" t="n"/>
      <c r="I460" s="2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20.25" customHeight="1">
      <c r="A461" s="21" t="n"/>
      <c r="B461" s="21" t="n"/>
      <c r="C461" s="21" t="n"/>
      <c r="D461" s="21" t="n"/>
      <c r="E461" s="5" t="n"/>
      <c r="F461" s="21" t="n"/>
      <c r="G461" s="21" t="n"/>
      <c r="H461" s="21" t="n"/>
      <c r="I461" s="2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20.25" customHeight="1">
      <c r="A462" s="21" t="n"/>
      <c r="B462" s="21" t="n"/>
      <c r="C462" s="21" t="n"/>
      <c r="D462" s="21" t="n"/>
      <c r="E462" s="5" t="n"/>
      <c r="F462" s="21" t="n"/>
      <c r="G462" s="21" t="n"/>
      <c r="H462" s="21" t="n"/>
      <c r="I462" s="2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20.25" customHeight="1">
      <c r="A463" s="21" t="n"/>
      <c r="B463" s="21" t="n"/>
      <c r="C463" s="21" t="n"/>
      <c r="D463" s="21" t="n"/>
      <c r="E463" s="5" t="n"/>
      <c r="F463" s="21" t="n"/>
      <c r="G463" s="21" t="n"/>
      <c r="H463" s="21" t="n"/>
      <c r="I463" s="2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20.25" customHeight="1">
      <c r="A464" s="14" t="inlineStr">
        <is>
          <t>TOTAL PAYABLE</t>
        </is>
      </c>
      <c r="B464" s="14" t="n"/>
      <c r="C464" s="14" t="n">
        <v>2000</v>
      </c>
      <c r="D464" s="21" t="n">
        <v>73000</v>
      </c>
      <c r="E464" s="5" t="n"/>
      <c r="F464" s="14" t="inlineStr">
        <is>
          <t>TOTAL PAYABLE</t>
        </is>
      </c>
      <c r="H464" t="n">
        <v>1000</v>
      </c>
      <c r="I464" s="21" t="n">
        <v>49000</v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6.5" customHeight="1">
      <c r="A465" s="15" t="n"/>
      <c r="B465" s="15" t="n"/>
      <c r="C465" s="15" t="n"/>
      <c r="D465" s="15" t="n"/>
      <c r="E465" s="5" t="n"/>
      <c r="F465" s="15" t="n"/>
      <c r="G465" s="15" t="n"/>
      <c r="H465" s="15" t="n"/>
      <c r="I465" s="15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20.25" customHeight="1">
      <c r="A466" s="14" t="inlineStr">
        <is>
          <t>Name</t>
        </is>
      </c>
      <c r="B466" s="14" t="inlineStr">
        <is>
          <t>VALARAMJI</t>
        </is>
      </c>
      <c r="C466" s="14" t="inlineStr">
        <is>
          <t>CHINTAL</t>
        </is>
      </c>
      <c r="D466" s="21" t="inlineStr">
        <is>
          <t>2026-01-15</t>
        </is>
      </c>
      <c r="E466" s="5" t="n"/>
      <c r="F466" s="14" t="inlineStr">
        <is>
          <t>Name</t>
        </is>
      </c>
      <c r="G466" s="14" t="inlineStr">
        <is>
          <t>NEMARAMJI</t>
        </is>
      </c>
      <c r="H466" s="14" t="inlineStr">
        <is>
          <t>KOMPALY</t>
        </is>
      </c>
      <c r="I466" s="21" t="inlineStr">
        <is>
          <t>2026-01-15</t>
        </is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20.25" customHeight="1">
      <c r="A467" s="21" t="inlineStr">
        <is>
          <t>Month</t>
        </is>
      </c>
      <c r="B467" s="21" t="inlineStr">
        <is>
          <t>Plan</t>
        </is>
      </c>
      <c r="C467" s="21" t="inlineStr">
        <is>
          <t>Commission</t>
        </is>
      </c>
      <c r="D467" s="21" t="inlineStr">
        <is>
          <t>Amount</t>
        </is>
      </c>
      <c r="E467" s="5" t="n"/>
      <c r="F467" s="21" t="inlineStr">
        <is>
          <t>Month</t>
        </is>
      </c>
      <c r="G467" s="21" t="inlineStr">
        <is>
          <t>Plan</t>
        </is>
      </c>
      <c r="H467" s="21" t="inlineStr">
        <is>
          <t>Commission</t>
        </is>
      </c>
      <c r="I467" s="21" t="inlineStr">
        <is>
          <t>Amount</t>
        </is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20.25" customHeight="1">
      <c r="A468" s="21" t="n">
        <v>1</v>
      </c>
      <c r="B468" s="21" t="n">
        <v>1000000</v>
      </c>
      <c r="C468" s="21" t="n">
        <v>1000</v>
      </c>
      <c r="D468" s="21" t="n">
        <v>49000</v>
      </c>
      <c r="E468" s="5" t="n"/>
      <c r="F468" s="21" t="n">
        <v>1</v>
      </c>
      <c r="G468" s="21" t="n">
        <v>1000000</v>
      </c>
      <c r="H468" s="21" t="n">
        <v>1000</v>
      </c>
      <c r="I468" s="21" t="n">
        <v>49000</v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20.25" customHeight="1">
      <c r="A469" s="21" t="n">
        <v>5</v>
      </c>
      <c r="B469" s="21" t="n">
        <v>1000000</v>
      </c>
      <c r="C469" s="21" t="n">
        <v>1000</v>
      </c>
      <c r="D469" s="21" t="n">
        <v>49000</v>
      </c>
      <c r="E469" s="5" t="n"/>
      <c r="F469" s="21" t="n"/>
      <c r="G469" s="21" t="n"/>
      <c r="H469" s="21" t="n"/>
      <c r="I469" s="2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20.25" customHeight="1">
      <c r="A470" s="21" t="n"/>
      <c r="B470" s="21" t="n"/>
      <c r="C470" s="21" t="n"/>
      <c r="D470" s="21" t="n"/>
      <c r="E470" s="5" t="n"/>
      <c r="F470" s="21" t="n"/>
      <c r="G470" s="21" t="n"/>
      <c r="H470" s="21" t="n"/>
      <c r="I470" s="2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20.25" customHeight="1">
      <c r="A471" s="21" t="n"/>
      <c r="B471" s="21" t="n"/>
      <c r="C471" s="21" t="n"/>
      <c r="D471" s="21" t="n"/>
      <c r="E471" s="5" t="n"/>
      <c r="F471" s="21" t="n"/>
      <c r="G471" s="21" t="n"/>
      <c r="H471" s="21" t="n"/>
      <c r="I471" s="2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20.25" customHeight="1">
      <c r="A472" s="21" t="n"/>
      <c r="B472" s="21" t="n"/>
      <c r="C472" s="21" t="n"/>
      <c r="D472" s="21" t="n"/>
      <c r="E472" s="5" t="n"/>
      <c r="F472" s="21" t="n"/>
      <c r="G472" s="21" t="n"/>
      <c r="H472" s="21" t="n"/>
      <c r="I472" s="2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20.25" customHeight="1">
      <c r="A473" s="14" t="inlineStr">
        <is>
          <t>TOTAL PAYABLE</t>
        </is>
      </c>
      <c r="B473" s="14" t="n"/>
      <c r="C473" s="14" t="n">
        <v>2000</v>
      </c>
      <c r="D473" s="21" t="n">
        <v>98000</v>
      </c>
      <c r="E473" s="5" t="n"/>
      <c r="F473" s="14" t="inlineStr">
        <is>
          <t>TOTAL PAYABLE</t>
        </is>
      </c>
      <c r="H473" t="n">
        <v>1000</v>
      </c>
      <c r="I473" s="21" t="n">
        <v>49000</v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6.5" customHeight="1">
      <c r="A474" s="15" t="n"/>
      <c r="B474" s="15" t="n"/>
      <c r="C474" s="15" t="n"/>
      <c r="D474" s="15" t="n"/>
      <c r="E474" s="5" t="n"/>
      <c r="F474" s="15" t="n"/>
      <c r="G474" s="15" t="n"/>
      <c r="H474" s="15" t="n"/>
      <c r="I474" s="15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20.25" customHeight="1">
      <c r="A475" s="14" t="inlineStr">
        <is>
          <t>Name</t>
        </is>
      </c>
      <c r="B475" s="14" t="inlineStr">
        <is>
          <t>NARAYANLALJI</t>
        </is>
      </c>
      <c r="C475" s="14" t="inlineStr">
        <is>
          <t>SURARAM</t>
        </is>
      </c>
      <c r="D475" s="21" t="inlineStr">
        <is>
          <t>2026-01-15</t>
        </is>
      </c>
      <c r="E475" s="5" t="n"/>
      <c r="F475" s="14" t="inlineStr">
        <is>
          <t>Name</t>
        </is>
      </c>
      <c r="G475" s="14" t="inlineStr">
        <is>
          <t>ASHOKJI</t>
        </is>
      </c>
      <c r="H475" s="14" t="inlineStr">
        <is>
          <t>SUCHITRA</t>
        </is>
      </c>
      <c r="I475" s="21" t="inlineStr">
        <is>
          <t>2026-01-15</t>
        </is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20.25" customHeight="1">
      <c r="A476" s="21" t="inlineStr">
        <is>
          <t>Month</t>
        </is>
      </c>
      <c r="B476" s="21" t="inlineStr">
        <is>
          <t>Plan</t>
        </is>
      </c>
      <c r="C476" s="21" t="inlineStr">
        <is>
          <t>Commission</t>
        </is>
      </c>
      <c r="D476" s="21" t="inlineStr">
        <is>
          <t>Amount</t>
        </is>
      </c>
      <c r="E476" s="5" t="n"/>
      <c r="F476" s="21" t="inlineStr">
        <is>
          <t>Month</t>
        </is>
      </c>
      <c r="G476" s="21" t="inlineStr">
        <is>
          <t>Plan</t>
        </is>
      </c>
      <c r="H476" s="21" t="inlineStr">
        <is>
          <t>Commission</t>
        </is>
      </c>
      <c r="I476" s="21" t="inlineStr">
        <is>
          <t>Amount</t>
        </is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20.25" customHeight="1">
      <c r="A477" s="21" t="n">
        <v>1</v>
      </c>
      <c r="B477" s="21" t="n">
        <v>500000</v>
      </c>
      <c r="C477" s="21" t="n">
        <v>1000</v>
      </c>
      <c r="D477" s="21" t="n">
        <v>24000</v>
      </c>
      <c r="E477" s="5" t="n"/>
      <c r="F477" s="21" t="n">
        <v>5</v>
      </c>
      <c r="G477" s="21" t="n">
        <v>500000</v>
      </c>
      <c r="H477" s="21" t="n">
        <v>1000</v>
      </c>
      <c r="I477" s="21" t="n">
        <v>24000</v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20.25" customHeight="1">
      <c r="A478" s="21" t="n"/>
      <c r="B478" s="21" t="n"/>
      <c r="C478" s="21" t="n"/>
      <c r="D478" s="21" t="n"/>
      <c r="E478" s="5" t="n"/>
      <c r="F478" s="21" t="n"/>
      <c r="G478" s="21" t="n"/>
      <c r="H478" s="21" t="n"/>
      <c r="I478" s="2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20.25" customHeight="1">
      <c r="A479" s="21" t="n"/>
      <c r="B479" s="21" t="n"/>
      <c r="C479" s="21" t="n"/>
      <c r="D479" s="21" t="n"/>
      <c r="E479" s="5" t="n"/>
      <c r="F479" s="21" t="n"/>
      <c r="G479" s="21" t="n"/>
      <c r="H479" s="21" t="n"/>
      <c r="I479" s="2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20.25" customHeight="1">
      <c r="A480" s="21" t="n"/>
      <c r="B480" s="21" t="n"/>
      <c r="C480" s="21" t="n"/>
      <c r="D480" s="21" t="n"/>
      <c r="E480" s="5" t="n"/>
      <c r="F480" s="21" t="n"/>
      <c r="G480" s="21" t="n"/>
      <c r="H480" s="21" t="n"/>
      <c r="I480" s="2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20.25" customHeight="1">
      <c r="A481" s="21" t="n"/>
      <c r="B481" s="21" t="n"/>
      <c r="C481" s="21" t="n"/>
      <c r="D481" s="21" t="n"/>
      <c r="E481" s="5" t="n"/>
      <c r="F481" s="21" t="n"/>
      <c r="G481" s="21" t="n"/>
      <c r="H481" s="21" t="n"/>
      <c r="I481" s="2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20.25" customHeight="1">
      <c r="A482" s="14" t="inlineStr">
        <is>
          <t>TOTAL PAYABLE</t>
        </is>
      </c>
      <c r="B482" s="14" t="n"/>
      <c r="C482" s="14" t="n">
        <v>1000</v>
      </c>
      <c r="D482" s="21" t="n">
        <v>24000</v>
      </c>
      <c r="E482" s="5" t="n"/>
      <c r="F482" s="14" t="inlineStr">
        <is>
          <t>TOTAL PAYABLE</t>
        </is>
      </c>
      <c r="H482" t="n">
        <v>1000</v>
      </c>
      <c r="I482" s="21" t="n">
        <v>24000</v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20.25" customHeight="1">
      <c r="A483" s="15" t="n"/>
      <c r="B483" s="14" t="n"/>
      <c r="C483" s="15" t="n"/>
      <c r="D483" s="21" t="n"/>
      <c r="E483" s="5" t="n"/>
      <c r="F483" s="15" t="n"/>
      <c r="G483" s="14" t="n"/>
      <c r="H483" s="15" t="n"/>
      <c r="I483" s="2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20.25" customHeight="1">
      <c r="A484" s="14" t="inlineStr">
        <is>
          <t>Name</t>
        </is>
      </c>
      <c r="B484" s="14" t="inlineStr">
        <is>
          <t>VENKAT REDDY</t>
        </is>
      </c>
      <c r="C484" s="14" t="inlineStr">
        <is>
          <t>SURARAM</t>
        </is>
      </c>
      <c r="D484" s="21" t="inlineStr">
        <is>
          <t>2026-01-15</t>
        </is>
      </c>
      <c r="E484" s="5" t="n"/>
      <c r="F484" s="14" t="inlineStr">
        <is>
          <t>Name</t>
        </is>
      </c>
      <c r="G484" s="14" t="inlineStr">
        <is>
          <t>PEMARAMJI</t>
        </is>
      </c>
      <c r="H484" s="14" t="inlineStr">
        <is>
          <t>SURARAM</t>
        </is>
      </c>
      <c r="I484" s="21" t="inlineStr">
        <is>
          <t>2026-01-15</t>
        </is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20.25" customHeight="1">
      <c r="A485" s="21" t="inlineStr">
        <is>
          <t>Month</t>
        </is>
      </c>
      <c r="B485" s="21" t="inlineStr">
        <is>
          <t>Plan</t>
        </is>
      </c>
      <c r="C485" s="21" t="inlineStr">
        <is>
          <t>Commission</t>
        </is>
      </c>
      <c r="D485" s="21" t="inlineStr">
        <is>
          <t>Amount</t>
        </is>
      </c>
      <c r="E485" s="5" t="n"/>
      <c r="F485" s="21" t="inlineStr">
        <is>
          <t>Month</t>
        </is>
      </c>
      <c r="G485" s="21" t="inlineStr">
        <is>
          <t>Plan</t>
        </is>
      </c>
      <c r="H485" s="21" t="inlineStr">
        <is>
          <t>Commission</t>
        </is>
      </c>
      <c r="I485" s="21" t="inlineStr">
        <is>
          <t>Amount</t>
        </is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20.25" customHeight="1">
      <c r="A486" s="21" t="n">
        <v>18</v>
      </c>
      <c r="B486" s="21" t="n">
        <v>500000</v>
      </c>
      <c r="C486" s="21" t="n">
        <v>1000</v>
      </c>
      <c r="D486" s="21" t="n">
        <v>24000</v>
      </c>
      <c r="E486" s="5" t="n"/>
      <c r="F486" s="21" t="n">
        <v>10</v>
      </c>
      <c r="G486" s="21" t="n">
        <v>500000</v>
      </c>
      <c r="H486" s="21" t="n">
        <v>1000</v>
      </c>
      <c r="I486" s="21" t="n">
        <v>24000</v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20.25" customHeight="1">
      <c r="A487" s="21" t="n">
        <v>18</v>
      </c>
      <c r="B487" s="21" t="n">
        <v>500000</v>
      </c>
      <c r="C487" s="21" t="n">
        <v>1000</v>
      </c>
      <c r="D487" s="21" t="n">
        <v>24000</v>
      </c>
      <c r="E487" s="5" t="n"/>
      <c r="F487" s="21" t="n"/>
      <c r="G487" s="21" t="n"/>
      <c r="H487" s="21" t="n"/>
      <c r="I487" s="2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20.25" customHeight="1">
      <c r="A488" s="21" t="n"/>
      <c r="B488" s="21" t="n"/>
      <c r="C488" s="21" t="n"/>
      <c r="D488" s="21" t="n"/>
      <c r="E488" s="5" t="n"/>
      <c r="F488" s="21" t="n"/>
      <c r="G488" s="21" t="n"/>
      <c r="H488" s="21" t="n"/>
      <c r="I488" s="2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20.25" customHeight="1">
      <c r="A489" s="21" t="n"/>
      <c r="B489" s="21" t="n"/>
      <c r="C489" s="21" t="n"/>
      <c r="D489" s="21" t="n"/>
      <c r="E489" s="5" t="n"/>
      <c r="F489" s="21" t="n"/>
      <c r="G489" s="21" t="n"/>
      <c r="H489" s="21" t="n"/>
      <c r="I489" s="2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20.25" customHeight="1">
      <c r="A490" s="21" t="n"/>
      <c r="B490" s="21" t="n"/>
      <c r="C490" s="21" t="n"/>
      <c r="D490" s="21" t="n"/>
      <c r="E490" s="5" t="n"/>
      <c r="F490" s="21" t="n"/>
      <c r="G490" s="21" t="n"/>
      <c r="H490" s="21" t="n"/>
      <c r="I490" s="2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20.25" customHeight="1">
      <c r="A491" s="14" t="inlineStr">
        <is>
          <t>TOTAL PAYABLE</t>
        </is>
      </c>
      <c r="B491" s="14" t="n"/>
      <c r="C491" s="14" t="n">
        <v>2000</v>
      </c>
      <c r="D491" s="21" t="n">
        <v>48000</v>
      </c>
      <c r="E491" s="5" t="n"/>
      <c r="F491" s="14" t="inlineStr">
        <is>
          <t>TOTAL PAYABLE</t>
        </is>
      </c>
      <c r="H491" t="n">
        <v>1000</v>
      </c>
      <c r="I491" s="21" t="n">
        <v>24000</v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6.5" customHeight="1">
      <c r="A492" s="15" t="n"/>
      <c r="B492" s="15" t="n"/>
      <c r="C492" s="15" t="n"/>
      <c r="D492" s="15" t="n"/>
      <c r="E492" s="5" t="n"/>
      <c r="F492" s="15" t="n"/>
      <c r="G492" s="15" t="n"/>
      <c r="H492" s="15" t="n"/>
      <c r="I492" s="15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20.25" customHeight="1">
      <c r="A493" s="14" t="inlineStr">
        <is>
          <t>Name</t>
        </is>
      </c>
      <c r="B493" s="14" t="inlineStr">
        <is>
          <t>CHANDARAMJI</t>
        </is>
      </c>
      <c r="C493" s="14" t="inlineStr">
        <is>
          <t>SURARAM</t>
        </is>
      </c>
      <c r="D493" s="21" t="inlineStr">
        <is>
          <t>2026-01-15</t>
        </is>
      </c>
      <c r="E493" s="5" t="n"/>
      <c r="F493" s="14" t="inlineStr">
        <is>
          <t>Name</t>
        </is>
      </c>
      <c r="G493" s="14" t="inlineStr">
        <is>
          <t>VINJARAMJI</t>
        </is>
      </c>
      <c r="H493" s="14" t="inlineStr">
        <is>
          <t>R R NAGAR</t>
        </is>
      </c>
      <c r="I493" s="21" t="inlineStr">
        <is>
          <t>2026-01-15</t>
        </is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20.25" customHeight="1">
      <c r="A494" s="21" t="inlineStr">
        <is>
          <t>Month</t>
        </is>
      </c>
      <c r="B494" s="21" t="inlineStr">
        <is>
          <t>Plan</t>
        </is>
      </c>
      <c r="C494" s="21" t="inlineStr">
        <is>
          <t>Commission</t>
        </is>
      </c>
      <c r="D494" s="21" t="inlineStr">
        <is>
          <t>Amount</t>
        </is>
      </c>
      <c r="E494" s="5" t="n"/>
      <c r="F494" s="21" t="inlineStr">
        <is>
          <t>Month</t>
        </is>
      </c>
      <c r="G494" s="21" t="inlineStr">
        <is>
          <t>Plan</t>
        </is>
      </c>
      <c r="H494" s="21" t="inlineStr">
        <is>
          <t>Commission</t>
        </is>
      </c>
      <c r="I494" s="21" t="inlineStr">
        <is>
          <t>Amount</t>
        </is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20.25" customHeight="1">
      <c r="A495" s="21" t="n">
        <v>15</v>
      </c>
      <c r="B495" s="21" t="n">
        <v>500000</v>
      </c>
      <c r="C495" s="21" t="n">
        <v>500</v>
      </c>
      <c r="D495" s="21" t="n">
        <v>24500</v>
      </c>
      <c r="E495" s="5" t="n"/>
      <c r="F495" s="21" t="n">
        <v>15</v>
      </c>
      <c r="G495" s="21" t="n">
        <v>500000</v>
      </c>
      <c r="H495" s="21" t="n">
        <v>500</v>
      </c>
      <c r="I495" s="21" t="n">
        <v>24500</v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20.25" customHeight="1">
      <c r="A496" s="21" t="n"/>
      <c r="B496" s="21" t="n"/>
      <c r="C496" s="21" t="n"/>
      <c r="D496" s="21" t="n"/>
      <c r="E496" s="5" t="n"/>
      <c r="F496" s="21" t="n">
        <v>15</v>
      </c>
      <c r="G496" s="21" t="n">
        <v>500000</v>
      </c>
      <c r="H496" s="21" t="n">
        <v>500</v>
      </c>
      <c r="I496" s="21" t="n">
        <v>24500</v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20.25" customHeight="1">
      <c r="A497" s="21" t="n"/>
      <c r="B497" s="21" t="n"/>
      <c r="C497" s="21" t="n"/>
      <c r="D497" s="21" t="n"/>
      <c r="E497" s="5" t="n"/>
      <c r="F497" s="21" t="n">
        <v>10</v>
      </c>
      <c r="G497" s="21" t="n">
        <v>500000</v>
      </c>
      <c r="H497" s="21" t="n">
        <v>1000</v>
      </c>
      <c r="I497" s="21" t="n">
        <v>24000</v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20.25" customHeight="1">
      <c r="A498" s="21" t="n"/>
      <c r="B498" s="21" t="n"/>
      <c r="C498" s="21" t="n"/>
      <c r="D498" s="21" t="n"/>
      <c r="E498" s="5" t="n"/>
      <c r="F498" s="21" t="n">
        <v>5</v>
      </c>
      <c r="G498" s="21" t="n">
        <v>1000000</v>
      </c>
      <c r="H498" s="21" t="n">
        <v>1000</v>
      </c>
      <c r="I498" s="21" t="n">
        <v>49000</v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20.25" customHeight="1">
      <c r="A499" s="21" t="n"/>
      <c r="B499" s="21" t="n"/>
      <c r="C499" s="21" t="n"/>
      <c r="D499" s="21" t="n"/>
      <c r="E499" s="5" t="n"/>
      <c r="F499" s="21" t="n"/>
      <c r="G499" s="21" t="n"/>
      <c r="H499" s="21" t="n"/>
      <c r="I499" s="2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20.25" customHeight="1">
      <c r="A500" s="14" t="inlineStr">
        <is>
          <t>TOTAL PAYABLE</t>
        </is>
      </c>
      <c r="B500" s="14" t="n"/>
      <c r="C500" s="14" t="n">
        <v>500</v>
      </c>
      <c r="D500" s="21" t="n">
        <v>24500</v>
      </c>
      <c r="E500" s="5" t="n"/>
      <c r="F500" s="14" t="inlineStr">
        <is>
          <t>TOTAL PAYABLE</t>
        </is>
      </c>
      <c r="H500" t="n">
        <v>3000</v>
      </c>
      <c r="I500" s="21" t="n">
        <v>122000</v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6.5" customHeight="1"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20.25" customHeight="1">
      <c r="A502" s="14" t="inlineStr">
        <is>
          <t>Name</t>
        </is>
      </c>
      <c r="B502" s="14" t="inlineStr">
        <is>
          <t>CHAMPALALJI</t>
        </is>
      </c>
      <c r="C502" s="14" t="inlineStr">
        <is>
          <t>RNGRD</t>
        </is>
      </c>
      <c r="D502" s="21" t="inlineStr">
        <is>
          <t>2026-01-15</t>
        </is>
      </c>
      <c r="E502" s="5" t="n"/>
      <c r="F502" s="14" t="inlineStr">
        <is>
          <t>NAME</t>
        </is>
      </c>
      <c r="G502" s="14" t="inlineStr">
        <is>
          <t>VENKTESHVAR</t>
        </is>
      </c>
      <c r="H502" s="14" t="inlineStr">
        <is>
          <t>AB CO</t>
        </is>
      </c>
      <c r="I502" s="21" t="inlineStr">
        <is>
          <t>2026-01-15</t>
        </is>
      </c>
      <c r="K502" s="1" t="n"/>
      <c r="L502" s="1" t="n"/>
      <c r="M502" s="1" t="n"/>
      <c r="N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20.25" customHeight="1">
      <c r="A503" s="21" t="inlineStr">
        <is>
          <t>Month</t>
        </is>
      </c>
      <c r="B503" s="21" t="inlineStr">
        <is>
          <t>Plan</t>
        </is>
      </c>
      <c r="C503" s="21" t="inlineStr">
        <is>
          <t>Commission</t>
        </is>
      </c>
      <c r="D503" s="21" t="inlineStr">
        <is>
          <t>Amount</t>
        </is>
      </c>
      <c r="E503" s="5" t="n"/>
      <c r="F503" s="21" t="inlineStr">
        <is>
          <t>Month</t>
        </is>
      </c>
      <c r="G503" s="21" t="inlineStr">
        <is>
          <t>Plan</t>
        </is>
      </c>
      <c r="H503" s="21" t="inlineStr">
        <is>
          <t>Commission</t>
        </is>
      </c>
      <c r="I503" s="21" t="inlineStr">
        <is>
          <t>Amount</t>
        </is>
      </c>
    </row>
    <row r="504" ht="20.25" customHeight="1">
      <c r="A504" s="21" t="n">
        <v>10</v>
      </c>
      <c r="B504" s="21" t="n">
        <v>2000000</v>
      </c>
      <c r="C504" s="21" t="n">
        <v>1000</v>
      </c>
      <c r="D504" s="21" t="n">
        <v>99000</v>
      </c>
      <c r="E504" s="5" t="n"/>
      <c r="F504" s="21" t="n">
        <v>10</v>
      </c>
      <c r="G504" s="21" t="n">
        <v>500000</v>
      </c>
      <c r="H504" s="21" t="n">
        <v>1000</v>
      </c>
      <c r="I504" s="21" t="n">
        <v>24000</v>
      </c>
    </row>
    <row r="505" ht="20.25" customHeight="1">
      <c r="A505" s="21" t="n"/>
      <c r="B505" s="21" t="n"/>
      <c r="C505" s="21" t="n"/>
      <c r="D505" s="21" t="n"/>
      <c r="E505" s="5" t="n"/>
      <c r="F505" s="21" t="n"/>
      <c r="G505" s="21" t="n"/>
      <c r="H505" s="21" t="n"/>
      <c r="I505" s="21" t="n"/>
    </row>
    <row r="506" ht="20.25" customHeight="1">
      <c r="A506" s="21" t="n"/>
      <c r="B506" s="21" t="n"/>
      <c r="C506" s="21" t="n"/>
      <c r="D506" s="21" t="n"/>
      <c r="E506" s="5" t="n"/>
      <c r="F506" s="21" t="n"/>
      <c r="G506" s="21" t="n"/>
      <c r="H506" s="21" t="n"/>
      <c r="I506" s="21" t="n"/>
    </row>
    <row r="507" ht="20.25" customHeight="1">
      <c r="A507" s="21" t="n"/>
      <c r="B507" s="21" t="n"/>
      <c r="C507" s="21" t="n"/>
      <c r="D507" s="21" t="n"/>
      <c r="E507" s="5" t="n"/>
      <c r="F507" s="21" t="n"/>
      <c r="G507" s="21" t="n"/>
      <c r="H507" s="21" t="n"/>
      <c r="I507" s="21" t="n"/>
    </row>
    <row r="508" ht="20.25" customHeight="1">
      <c r="A508" s="21" t="n"/>
      <c r="B508" s="21" t="n"/>
      <c r="C508" s="21" t="n"/>
      <c r="D508" s="21" t="n"/>
      <c r="E508" s="5" t="n"/>
      <c r="F508" s="21" t="n"/>
      <c r="G508" s="21" t="n"/>
      <c r="H508" s="21" t="n"/>
      <c r="I508" s="21" t="n"/>
    </row>
    <row r="509" ht="20.25" customHeight="1">
      <c r="A509" s="14" t="inlineStr">
        <is>
          <t>TOTAL PAYABLE</t>
        </is>
      </c>
      <c r="B509" s="14" t="n"/>
      <c r="C509" s="14" t="n">
        <v>1000</v>
      </c>
      <c r="D509" s="21" t="n">
        <v>99000</v>
      </c>
      <c r="E509" s="5" t="n"/>
      <c r="F509" s="14" t="inlineStr">
        <is>
          <t>TOTAL PAYABLE</t>
        </is>
      </c>
      <c r="G509" s="14" t="n"/>
      <c r="H509" s="14" t="n">
        <v>1000</v>
      </c>
      <c r="I509" s="21" t="n">
        <v>24000</v>
      </c>
    </row>
    <row r="510" ht="16.5" customHeight="1"/>
    <row r="511" ht="20.25" customHeight="1">
      <c r="A511" s="14" t="inlineStr">
        <is>
          <t>Name</t>
        </is>
      </c>
      <c r="B511" s="14" t="inlineStr">
        <is>
          <t>KEWALJI</t>
        </is>
      </c>
      <c r="C511" s="14" t="inlineStr">
        <is>
          <t>KAMMAN</t>
        </is>
      </c>
      <c r="D511" s="21" t="inlineStr">
        <is>
          <t>2026-01-15</t>
        </is>
      </c>
      <c r="E511" s="5" t="n"/>
      <c r="F511" s="14" t="inlineStr">
        <is>
          <t>NAME</t>
        </is>
      </c>
      <c r="G511" s="14" t="inlineStr">
        <is>
          <t>PRAKASHJI</t>
        </is>
      </c>
      <c r="H511" s="14" t="inlineStr">
        <is>
          <t>AMEENPUR</t>
        </is>
      </c>
      <c r="I511" s="21" t="inlineStr">
        <is>
          <t>2026-01-15</t>
        </is>
      </c>
    </row>
    <row r="512" ht="20.25" customHeight="1">
      <c r="A512" s="21" t="inlineStr">
        <is>
          <t>Month</t>
        </is>
      </c>
      <c r="B512" s="21" t="inlineStr">
        <is>
          <t>Plan</t>
        </is>
      </c>
      <c r="C512" s="21" t="inlineStr">
        <is>
          <t>Commission</t>
        </is>
      </c>
      <c r="D512" s="21" t="inlineStr">
        <is>
          <t>Amount</t>
        </is>
      </c>
      <c r="E512" s="5" t="n"/>
      <c r="F512" s="21" t="inlineStr">
        <is>
          <t>Month</t>
        </is>
      </c>
      <c r="G512" s="21" t="inlineStr">
        <is>
          <t>Plan</t>
        </is>
      </c>
      <c r="H512" s="21" t="inlineStr">
        <is>
          <t>Commission</t>
        </is>
      </c>
      <c r="I512" s="21" t="inlineStr">
        <is>
          <t>Amount</t>
        </is>
      </c>
    </row>
    <row r="513" ht="20.25" customHeight="1">
      <c r="A513" s="21" t="n">
        <v>10</v>
      </c>
      <c r="B513" s="21" t="n">
        <v>500000</v>
      </c>
      <c r="C513" s="21" t="n">
        <v>1000</v>
      </c>
      <c r="D513" s="21" t="n">
        <v>24000</v>
      </c>
      <c r="E513" s="5" t="n"/>
      <c r="F513" s="21" t="n">
        <v>10</v>
      </c>
      <c r="G513" s="21" t="n">
        <v>500000</v>
      </c>
      <c r="H513" s="21" t="n">
        <v>1000</v>
      </c>
      <c r="I513" s="21" t="n">
        <v>24000</v>
      </c>
    </row>
    <row r="514" ht="20.25" customHeight="1">
      <c r="A514" s="21" t="n"/>
      <c r="B514" s="21" t="n"/>
      <c r="C514" s="21" t="n"/>
      <c r="D514" s="21" t="n"/>
      <c r="E514" s="5" t="n"/>
      <c r="F514" s="21" t="n"/>
      <c r="G514" s="21" t="n"/>
      <c r="H514" s="21" t="n"/>
      <c r="I514" s="21" t="n"/>
    </row>
    <row r="515" ht="20.25" customHeight="1">
      <c r="A515" s="21" t="n"/>
      <c r="B515" s="21" t="n"/>
      <c r="C515" s="21" t="n"/>
      <c r="D515" s="21" t="n"/>
      <c r="E515" s="5" t="n"/>
      <c r="F515" s="21" t="n"/>
      <c r="G515" s="21" t="n"/>
      <c r="H515" s="21" t="n"/>
      <c r="I515" s="21" t="n"/>
    </row>
    <row r="516" ht="20.25" customHeight="1">
      <c r="A516" s="21" t="n"/>
      <c r="B516" s="21" t="n"/>
      <c r="C516" s="21" t="n"/>
      <c r="D516" s="21" t="n"/>
      <c r="E516" s="5" t="n"/>
      <c r="F516" s="21" t="n"/>
      <c r="G516" s="21" t="n"/>
      <c r="H516" s="21" t="n"/>
      <c r="I516" s="21" t="n"/>
    </row>
    <row r="517" ht="20.25" customHeight="1">
      <c r="A517" s="21" t="n"/>
      <c r="B517" s="21" t="n"/>
      <c r="C517" s="21" t="n"/>
      <c r="D517" s="21" t="n"/>
      <c r="E517" s="5" t="n"/>
      <c r="F517" s="21" t="n"/>
      <c r="G517" s="21" t="n"/>
      <c r="H517" s="21" t="n"/>
      <c r="I517" s="21" t="n"/>
    </row>
    <row r="518" ht="20.25" customHeight="1">
      <c r="A518" s="14" t="inlineStr">
        <is>
          <t>TOTAL PAYABLE</t>
        </is>
      </c>
      <c r="B518" s="14" t="n"/>
      <c r="C518" s="14" t="n">
        <v>1000</v>
      </c>
      <c r="D518" s="21" t="n">
        <v>24000</v>
      </c>
      <c r="E518" s="5" t="n"/>
      <c r="F518" s="14" t="inlineStr">
        <is>
          <t>TOTAL</t>
        </is>
      </c>
      <c r="H518" t="n">
        <v>1000</v>
      </c>
      <c r="I518" s="21" t="n">
        <v>24000</v>
      </c>
    </row>
    <row r="519" ht="16.5" customHeight="1"/>
    <row r="520" ht="20.25" customHeight="1">
      <c r="A520" s="14" t="inlineStr">
        <is>
          <t>NAME</t>
        </is>
      </c>
      <c r="B520" s="14" t="inlineStr">
        <is>
          <t>NIRMALJI</t>
        </is>
      </c>
      <c r="C520" s="14" t="inlineStr">
        <is>
          <t>KKPALLY</t>
        </is>
      </c>
      <c r="D520" s="21" t="inlineStr">
        <is>
          <t>2026-01-15</t>
        </is>
      </c>
      <c r="F520" s="14" t="inlineStr">
        <is>
          <t>NAME</t>
        </is>
      </c>
      <c r="G520" s="14" t="inlineStr">
        <is>
          <t>THANARAMJI</t>
        </is>
      </c>
      <c r="H520" s="14" t="inlineStr">
        <is>
          <t>SRIKAKULAM B</t>
        </is>
      </c>
      <c r="I520" s="21" t="inlineStr">
        <is>
          <t>2026-01-15</t>
        </is>
      </c>
    </row>
    <row r="521" ht="20.25" customHeight="1">
      <c r="A521" s="21" t="inlineStr">
        <is>
          <t>Month</t>
        </is>
      </c>
      <c r="B521" s="21" t="inlineStr">
        <is>
          <t>Plan</t>
        </is>
      </c>
      <c r="C521" s="21" t="inlineStr">
        <is>
          <t>Commission</t>
        </is>
      </c>
      <c r="D521" s="21" t="inlineStr">
        <is>
          <t>Amount</t>
        </is>
      </c>
      <c r="F521" s="21" t="inlineStr">
        <is>
          <t>Month</t>
        </is>
      </c>
      <c r="G521" s="21" t="inlineStr">
        <is>
          <t>Plan</t>
        </is>
      </c>
      <c r="H521" s="21" t="inlineStr">
        <is>
          <t>Commission</t>
        </is>
      </c>
      <c r="I521" s="21" t="inlineStr">
        <is>
          <t>Amount</t>
        </is>
      </c>
    </row>
    <row r="522" ht="20.25" customHeight="1">
      <c r="A522" s="21" t="n">
        <v>1</v>
      </c>
      <c r="B522" s="21" t="n">
        <v>500000</v>
      </c>
      <c r="C522" s="21" t="n">
        <v>1000</v>
      </c>
      <c r="D522" s="21" t="n">
        <v>24000</v>
      </c>
      <c r="F522" s="21" t="n">
        <v>10</v>
      </c>
      <c r="G522" s="21" t="n">
        <v>1000000</v>
      </c>
      <c r="H522" s="21" t="n">
        <v>1000</v>
      </c>
      <c r="I522" s="21" t="n">
        <v>49000</v>
      </c>
    </row>
    <row r="523" ht="20.25" customHeight="1">
      <c r="A523" s="21" t="n"/>
      <c r="B523" s="21" t="n"/>
      <c r="C523" s="21" t="n"/>
      <c r="D523" s="21" t="n"/>
      <c r="F523" s="21" t="n">
        <v>10</v>
      </c>
      <c r="G523" s="21" t="n">
        <v>1000000</v>
      </c>
      <c r="H523" s="21" t="n">
        <v>1000</v>
      </c>
      <c r="I523" s="21" t="n">
        <v>49000</v>
      </c>
    </row>
    <row r="524" ht="20.25" customHeight="1">
      <c r="A524" s="21" t="n"/>
      <c r="B524" s="21" t="n"/>
      <c r="C524" s="21" t="n"/>
      <c r="D524" s="21" t="n"/>
      <c r="F524" s="21" t="n"/>
      <c r="G524" s="21" t="n"/>
      <c r="H524" s="21" t="n"/>
      <c r="I524" s="21" t="n"/>
    </row>
    <row r="525" ht="20.25" customHeight="1">
      <c r="A525" s="21" t="n"/>
      <c r="B525" s="21" t="n"/>
      <c r="C525" s="21" t="n"/>
      <c r="D525" s="21" t="n"/>
      <c r="F525" s="21" t="n"/>
      <c r="G525" s="21" t="n"/>
      <c r="H525" s="21" t="n"/>
      <c r="I525" s="21" t="n"/>
    </row>
    <row r="526" ht="20.25" customHeight="1">
      <c r="A526" s="21" t="n"/>
      <c r="B526" s="21" t="n"/>
      <c r="C526" s="21" t="n"/>
      <c r="D526" s="21" t="n"/>
      <c r="F526" s="21" t="n"/>
      <c r="G526" s="21" t="n"/>
      <c r="H526" s="21" t="n"/>
      <c r="I526" s="21" t="n"/>
    </row>
    <row r="527" ht="20.25" customHeight="1">
      <c r="A527" s="14" t="inlineStr">
        <is>
          <t>TOTAL PAYABLE</t>
        </is>
      </c>
      <c r="B527" s="14" t="n"/>
      <c r="C527" s="14" t="n">
        <v>1000</v>
      </c>
      <c r="D527" s="21" t="n">
        <v>24000</v>
      </c>
      <c r="F527" s="14" t="inlineStr">
        <is>
          <t>TOTAL</t>
        </is>
      </c>
      <c r="H527" t="n">
        <v>2000</v>
      </c>
      <c r="I527" s="21" t="n">
        <v>98000</v>
      </c>
    </row>
    <row r="528" ht="16.5" customHeight="1"/>
    <row r="529" ht="20.25" customHeight="1">
      <c r="A529" s="14" t="inlineStr">
        <is>
          <t>NAME</t>
        </is>
      </c>
      <c r="B529" s="14" t="inlineStr">
        <is>
          <t>NARAYANJI</t>
        </is>
      </c>
      <c r="C529" s="14" t="inlineStr">
        <is>
          <t>RR ROAD</t>
        </is>
      </c>
      <c r="D529" s="21" t="inlineStr">
        <is>
          <t>2026-01-15</t>
        </is>
      </c>
      <c r="F529" s="14" t="inlineStr">
        <is>
          <t>NAME</t>
        </is>
      </c>
      <c r="G529" s="14" t="inlineStr">
        <is>
          <t>PUNJI</t>
        </is>
      </c>
      <c r="H529" s="14" t="inlineStr">
        <is>
          <t>R ROAD</t>
        </is>
      </c>
      <c r="I529" s="21" t="inlineStr">
        <is>
          <t>2026-01-15</t>
        </is>
      </c>
    </row>
    <row r="530" ht="20.25" customHeight="1">
      <c r="A530" s="21" t="inlineStr">
        <is>
          <t>Month</t>
        </is>
      </c>
      <c r="B530" s="21" t="inlineStr">
        <is>
          <t>Plan</t>
        </is>
      </c>
      <c r="C530" s="21" t="inlineStr">
        <is>
          <t>Commission</t>
        </is>
      </c>
      <c r="D530" s="21" t="inlineStr">
        <is>
          <t>Amount</t>
        </is>
      </c>
      <c r="F530" s="21" t="inlineStr">
        <is>
          <t>Month</t>
        </is>
      </c>
      <c r="G530" s="21" t="inlineStr">
        <is>
          <t>Plan</t>
        </is>
      </c>
      <c r="H530" s="21" t="inlineStr">
        <is>
          <t>Commission</t>
        </is>
      </c>
      <c r="I530" s="21" t="inlineStr">
        <is>
          <t>Amount</t>
        </is>
      </c>
    </row>
    <row r="531" ht="20.25" customHeight="1">
      <c r="A531" s="21" t="n">
        <v>5</v>
      </c>
      <c r="B531" s="21" t="n">
        <v>1000000</v>
      </c>
      <c r="C531" s="21" t="n">
        <v>1000</v>
      </c>
      <c r="D531" s="21" t="n">
        <v>49000</v>
      </c>
      <c r="F531" s="21" t="n">
        <v>10</v>
      </c>
      <c r="G531" s="21" t="n">
        <v>2000000</v>
      </c>
      <c r="H531" s="21" t="n">
        <v>1000</v>
      </c>
      <c r="I531" s="21" t="n">
        <v>99000</v>
      </c>
    </row>
    <row r="532" ht="20.25" customHeight="1">
      <c r="A532" s="21" t="n">
        <v>5.1</v>
      </c>
      <c r="B532" s="21" t="n">
        <v>1000000</v>
      </c>
      <c r="C532" s="21" t="n">
        <v>1000</v>
      </c>
      <c r="D532" s="21" t="n">
        <v>49000</v>
      </c>
      <c r="F532" s="21" t="n"/>
      <c r="G532" s="21" t="n"/>
      <c r="H532" s="21" t="n"/>
      <c r="I532" s="21" t="n"/>
    </row>
    <row r="533" ht="20.25" customHeight="1">
      <c r="A533" s="21" t="n"/>
      <c r="B533" s="21" t="n"/>
      <c r="C533" s="21" t="n"/>
      <c r="D533" s="21" t="n"/>
      <c r="F533" s="21" t="n"/>
      <c r="G533" s="21" t="n"/>
      <c r="H533" s="21" t="n"/>
      <c r="I533" s="21" t="n"/>
    </row>
    <row r="534" ht="20.25" customHeight="1">
      <c r="A534" s="21" t="n"/>
      <c r="B534" s="21" t="n"/>
      <c r="C534" s="21" t="n"/>
      <c r="D534" s="21" t="n"/>
      <c r="F534" s="21" t="n"/>
      <c r="G534" s="21" t="n"/>
      <c r="H534" s="21" t="n"/>
      <c r="I534" s="21" t="n"/>
    </row>
    <row r="535" ht="20.25" customHeight="1">
      <c r="A535" s="21" t="n"/>
      <c r="B535" s="21" t="n"/>
      <c r="C535" s="21" t="n"/>
      <c r="D535" s="21" t="n"/>
      <c r="F535" s="21" t="n"/>
      <c r="G535" s="21" t="n"/>
      <c r="H535" s="21" t="n"/>
      <c r="I535" s="21" t="n"/>
    </row>
    <row r="536" ht="20.25" customHeight="1">
      <c r="A536" s="14" t="inlineStr">
        <is>
          <t>TOTAL PAYABLE</t>
        </is>
      </c>
      <c r="B536" s="14" t="n"/>
      <c r="C536" s="14" t="n">
        <v>2000</v>
      </c>
      <c r="D536" s="21" t="n">
        <v>98000</v>
      </c>
      <c r="F536" s="14" t="inlineStr">
        <is>
          <t>TOTAL PAYABLE</t>
        </is>
      </c>
      <c r="G536" s="14" t="n"/>
      <c r="H536" s="14" t="n">
        <v>1000</v>
      </c>
      <c r="I536" s="21" t="n">
        <v>99000</v>
      </c>
    </row>
    <row r="537" ht="16.5" customHeight="1"/>
    <row r="538" ht="20.25" customHeight="1">
      <c r="A538" s="14" t="inlineStr">
        <is>
          <t>NAME</t>
        </is>
      </c>
      <c r="B538" s="14" t="inlineStr">
        <is>
          <t xml:space="preserve">GOTAMJI </t>
        </is>
      </c>
      <c r="C538" s="14" t="inlineStr">
        <is>
          <t>RR ROAD</t>
        </is>
      </c>
      <c r="D538" s="21" t="inlineStr">
        <is>
          <t>2026-01-15</t>
        </is>
      </c>
      <c r="F538" s="14" t="inlineStr">
        <is>
          <t>NAME</t>
        </is>
      </c>
      <c r="G538" s="14" t="inlineStr">
        <is>
          <t>SOHANJI</t>
        </is>
      </c>
      <c r="H538" s="14" t="inlineStr">
        <is>
          <t>RR ROAD</t>
        </is>
      </c>
      <c r="I538" s="21" t="inlineStr">
        <is>
          <t>2026-01-15</t>
        </is>
      </c>
    </row>
    <row r="539" ht="20.25" customHeight="1">
      <c r="A539" s="21" t="inlineStr">
        <is>
          <t>Month</t>
        </is>
      </c>
      <c r="B539" s="21" t="inlineStr">
        <is>
          <t>Plan</t>
        </is>
      </c>
      <c r="C539" s="21" t="inlineStr">
        <is>
          <t>Commission</t>
        </is>
      </c>
      <c r="D539" s="21" t="inlineStr">
        <is>
          <t>Amount</t>
        </is>
      </c>
      <c r="F539" s="21" t="inlineStr">
        <is>
          <t>Month</t>
        </is>
      </c>
      <c r="G539" s="21" t="inlineStr">
        <is>
          <t>Plan</t>
        </is>
      </c>
      <c r="H539" s="21" t="inlineStr">
        <is>
          <t>Commission</t>
        </is>
      </c>
      <c r="I539" s="21" t="inlineStr">
        <is>
          <t>Amount</t>
        </is>
      </c>
    </row>
    <row r="540" ht="20.25" customHeight="1">
      <c r="A540" s="21" t="n">
        <v>5.1</v>
      </c>
      <c r="B540" s="21" t="n">
        <v>1000000</v>
      </c>
      <c r="C540" s="21" t="n">
        <v>1000</v>
      </c>
      <c r="D540" s="21" t="n">
        <v>49000</v>
      </c>
      <c r="F540" s="21" t="n">
        <v>5</v>
      </c>
      <c r="G540" s="21" t="n">
        <v>1000000</v>
      </c>
      <c r="H540" s="21" t="n">
        <v>1000</v>
      </c>
      <c r="I540" s="21" t="n">
        <v>49000</v>
      </c>
    </row>
    <row r="541" ht="20.25" customHeight="1">
      <c r="A541" s="21" t="n"/>
      <c r="B541" s="21" t="n"/>
      <c r="C541" s="21" t="n"/>
      <c r="D541" s="21" t="n"/>
      <c r="F541" s="21" t="n">
        <v>5.1</v>
      </c>
      <c r="G541" s="21" t="n">
        <v>1000000</v>
      </c>
      <c r="H541" s="21" t="n">
        <v>1000</v>
      </c>
      <c r="I541" s="21" t="n">
        <v>49000</v>
      </c>
    </row>
    <row r="542" ht="20.25" customHeight="1">
      <c r="A542" s="21" t="n"/>
      <c r="B542" s="21" t="n"/>
      <c r="C542" s="21" t="n"/>
      <c r="D542" s="21" t="n"/>
      <c r="F542" s="21" t="n"/>
      <c r="G542" s="21" t="n"/>
      <c r="H542" s="21" t="n"/>
      <c r="I542" s="21" t="n"/>
    </row>
    <row r="543" ht="20.25" customHeight="1">
      <c r="A543" s="21" t="n"/>
      <c r="B543" s="21" t="n"/>
      <c r="C543" s="21" t="n"/>
      <c r="D543" s="21" t="n"/>
      <c r="F543" s="21" t="n"/>
      <c r="G543" s="21" t="n"/>
      <c r="H543" s="21" t="n"/>
      <c r="I543" s="21" t="n"/>
    </row>
    <row r="544" ht="20.25" customHeight="1">
      <c r="A544" s="21" t="n"/>
      <c r="B544" s="21" t="n"/>
      <c r="C544" s="21" t="n"/>
      <c r="D544" s="21" t="n"/>
      <c r="F544" s="21" t="n"/>
      <c r="G544" s="21" t="n"/>
      <c r="H544" s="21" t="n"/>
      <c r="I544" s="21" t="n"/>
    </row>
    <row r="545" ht="20.25" customHeight="1">
      <c r="A545" s="14" t="inlineStr">
        <is>
          <t>TOTAL PAYABLE</t>
        </is>
      </c>
      <c r="B545" s="14" t="n"/>
      <c r="C545" s="14" t="n">
        <v>1000</v>
      </c>
      <c r="D545" s="21" t="n">
        <v>49000</v>
      </c>
      <c r="F545" s="14" t="inlineStr">
        <is>
          <t>TOTAL PAYABLE</t>
        </is>
      </c>
      <c r="G545" s="14" t="n"/>
      <c r="H545" s="14" t="n">
        <v>2000</v>
      </c>
      <c r="I545" s="21" t="n">
        <v>98000</v>
      </c>
    </row>
    <row r="546" ht="16.5" customHeight="1"/>
    <row r="547" ht="20.25" customHeight="1">
      <c r="A547" s="14" t="inlineStr">
        <is>
          <t>NAME</t>
        </is>
      </c>
      <c r="B547" s="14" t="inlineStr">
        <is>
          <t>TEJAJAMJI</t>
        </is>
      </c>
      <c r="C547" s="14" t="inlineStr">
        <is>
          <t>YELMBNDA</t>
        </is>
      </c>
      <c r="D547" s="21" t="inlineStr">
        <is>
          <t>2026-01-15</t>
        </is>
      </c>
      <c r="F547" s="14" t="inlineStr">
        <is>
          <t>NAME</t>
        </is>
      </c>
      <c r="G547" s="14" t="inlineStr">
        <is>
          <t>MOHANJI</t>
        </is>
      </c>
      <c r="H547" s="14" t="inlineStr">
        <is>
          <t>CHINTAL</t>
        </is>
      </c>
      <c r="I547" s="21" t="inlineStr">
        <is>
          <t>2026-01-15</t>
        </is>
      </c>
    </row>
    <row r="548" ht="20.25" customHeight="1">
      <c r="A548" s="21" t="inlineStr">
        <is>
          <t>Month</t>
        </is>
      </c>
      <c r="B548" s="21" t="inlineStr">
        <is>
          <t>Plan</t>
        </is>
      </c>
      <c r="C548" s="21" t="inlineStr">
        <is>
          <t>Commission</t>
        </is>
      </c>
      <c r="D548" s="21" t="inlineStr">
        <is>
          <t>Amount</t>
        </is>
      </c>
      <c r="F548" s="21" t="inlineStr">
        <is>
          <t>Month</t>
        </is>
      </c>
      <c r="G548" s="21" t="inlineStr">
        <is>
          <t>Plan</t>
        </is>
      </c>
      <c r="H548" s="21" t="inlineStr">
        <is>
          <t>Commission</t>
        </is>
      </c>
      <c r="I548" s="21" t="inlineStr">
        <is>
          <t>Amount</t>
        </is>
      </c>
    </row>
    <row r="549" ht="20.25" customHeight="1">
      <c r="A549" s="21" t="n">
        <v>5.1</v>
      </c>
      <c r="B549" s="21" t="n">
        <v>1000000</v>
      </c>
      <c r="C549" s="21" t="n">
        <v>1000</v>
      </c>
      <c r="D549" s="21" t="n">
        <v>49000</v>
      </c>
      <c r="F549" s="21" t="n">
        <v>5.1</v>
      </c>
      <c r="G549" s="21" t="n">
        <v>1000000</v>
      </c>
      <c r="H549" s="21" t="n">
        <v>1000</v>
      </c>
      <c r="I549" s="21" t="n">
        <v>49000</v>
      </c>
    </row>
    <row r="550" ht="20.25" customHeight="1">
      <c r="A550" s="21" t="n"/>
      <c r="B550" s="21" t="n"/>
      <c r="C550" s="21" t="n"/>
      <c r="D550" s="21" t="n"/>
      <c r="F550" s="21" t="n"/>
      <c r="G550" s="21" t="n"/>
      <c r="H550" s="21" t="n"/>
      <c r="I550" s="21" t="n"/>
    </row>
    <row r="551" ht="20.25" customHeight="1">
      <c r="A551" s="21" t="n"/>
      <c r="B551" s="21" t="n"/>
      <c r="C551" s="21" t="n"/>
      <c r="D551" s="21" t="n"/>
      <c r="F551" s="21" t="n"/>
      <c r="G551" s="21" t="n"/>
      <c r="H551" s="21" t="n"/>
      <c r="I551" s="21" t="n"/>
    </row>
    <row r="552" ht="20.25" customHeight="1">
      <c r="A552" s="21" t="n"/>
      <c r="B552" s="21" t="n"/>
      <c r="C552" s="21" t="n"/>
      <c r="D552" s="21" t="n"/>
      <c r="F552" s="21" t="n"/>
      <c r="G552" s="21" t="n"/>
      <c r="H552" s="21" t="n"/>
      <c r="I552" s="21" t="n"/>
    </row>
    <row r="553" ht="20.25" customHeight="1">
      <c r="A553" s="21" t="n"/>
      <c r="B553" s="21" t="n"/>
      <c r="C553" s="21" t="n"/>
      <c r="D553" s="21" t="n"/>
      <c r="F553" s="21" t="n"/>
      <c r="G553" s="21" t="n"/>
      <c r="H553" s="21" t="n"/>
      <c r="I553" s="21" t="n"/>
    </row>
    <row r="554" ht="20.25" customHeight="1">
      <c r="A554" s="14" t="inlineStr">
        <is>
          <t>TOTAL PAYABLE</t>
        </is>
      </c>
      <c r="B554" s="14" t="n"/>
      <c r="C554" s="14" t="n">
        <v>1000</v>
      </c>
      <c r="D554" s="21" t="n">
        <v>49000</v>
      </c>
      <c r="F554" s="14" t="inlineStr">
        <is>
          <t>TOTAL PAYABLE</t>
        </is>
      </c>
      <c r="G554" s="14" t="n"/>
      <c r="H554" s="14" t="n">
        <v>1000</v>
      </c>
      <c r="I554" s="21" t="n">
        <v>49000</v>
      </c>
    </row>
    <row r="555" ht="16.5" customHeight="1"/>
    <row r="556" ht="20.25" customHeight="1">
      <c r="A556" s="14" t="inlineStr">
        <is>
          <t>NAME</t>
        </is>
      </c>
      <c r="B556" s="14" t="inlineStr">
        <is>
          <t>BABULALJI</t>
        </is>
      </c>
      <c r="C556" s="14" t="inlineStr">
        <is>
          <t>RAMARAM</t>
        </is>
      </c>
      <c r="D556" s="21" t="inlineStr">
        <is>
          <t>2026-01-15</t>
        </is>
      </c>
      <c r="F556" s="14" t="inlineStr">
        <is>
          <t>NAME</t>
        </is>
      </c>
      <c r="G556" s="14" t="inlineStr">
        <is>
          <t>MOHANJI</t>
        </is>
      </c>
      <c r="H556" s="14" t="inlineStr">
        <is>
          <t>AMINPUR</t>
        </is>
      </c>
      <c r="I556" s="21" t="inlineStr">
        <is>
          <t>2026-01-15</t>
        </is>
      </c>
    </row>
    <row r="557" ht="20.25" customHeight="1">
      <c r="A557" s="21" t="inlineStr">
        <is>
          <t>Month</t>
        </is>
      </c>
      <c r="B557" s="21" t="inlineStr">
        <is>
          <t>Plan</t>
        </is>
      </c>
      <c r="C557" s="21" t="inlineStr">
        <is>
          <t>Commission</t>
        </is>
      </c>
      <c r="D557" s="21" t="inlineStr">
        <is>
          <t>Amount</t>
        </is>
      </c>
      <c r="F557" s="21" t="inlineStr">
        <is>
          <t>Month</t>
        </is>
      </c>
      <c r="G557" s="21" t="inlineStr">
        <is>
          <t>Plan</t>
        </is>
      </c>
      <c r="H557" s="21" t="inlineStr">
        <is>
          <t>Commission</t>
        </is>
      </c>
      <c r="I557" s="21" t="inlineStr">
        <is>
          <t>Amount</t>
        </is>
      </c>
    </row>
    <row r="558" ht="20.25" customHeight="1">
      <c r="A558" s="21" t="n">
        <v>5.1</v>
      </c>
      <c r="B558" s="21" t="n">
        <v>1000000</v>
      </c>
      <c r="C558" s="21" t="n">
        <v>1000</v>
      </c>
      <c r="D558" s="21" t="n">
        <v>49000</v>
      </c>
      <c r="F558" s="21" t="n">
        <v>5</v>
      </c>
      <c r="G558" s="21" t="n">
        <v>500000</v>
      </c>
      <c r="H558" s="21" t="n">
        <v>1000</v>
      </c>
      <c r="I558" s="21" t="n">
        <v>24000</v>
      </c>
    </row>
    <row r="559" ht="20.25" customHeight="1">
      <c r="A559" s="21" t="n"/>
      <c r="B559" s="21" t="n"/>
      <c r="C559" s="21" t="n"/>
      <c r="D559" s="21" t="n"/>
      <c r="F559" s="21" t="n"/>
      <c r="G559" s="21" t="n"/>
      <c r="H559" s="21" t="n"/>
      <c r="I559" s="21" t="n"/>
    </row>
    <row r="560" ht="20.25" customHeight="1">
      <c r="A560" s="21" t="n"/>
      <c r="B560" s="21" t="n"/>
      <c r="C560" s="21" t="n"/>
      <c r="D560" s="21" t="n"/>
      <c r="F560" s="21" t="n"/>
      <c r="G560" s="21" t="n"/>
      <c r="H560" s="21" t="n"/>
      <c r="I560" s="21" t="n"/>
    </row>
    <row r="561" ht="20.25" customHeight="1">
      <c r="A561" s="21" t="n"/>
      <c r="B561" s="21" t="n"/>
      <c r="C561" s="21" t="n"/>
      <c r="D561" s="21" t="n"/>
      <c r="F561" s="21" t="n"/>
      <c r="G561" s="21" t="n"/>
      <c r="H561" s="21" t="n"/>
      <c r="I561" s="21" t="n"/>
    </row>
    <row r="562" ht="20.25" customHeight="1">
      <c r="A562" s="21" t="n"/>
      <c r="B562" s="21" t="n"/>
      <c r="C562" s="21" t="n"/>
      <c r="D562" s="21" t="n"/>
      <c r="F562" s="21" t="n"/>
      <c r="G562" s="21" t="n"/>
      <c r="H562" s="21" t="n"/>
      <c r="I562" s="21" t="n"/>
    </row>
    <row r="563" ht="20.25" customHeight="1">
      <c r="A563" s="14" t="inlineStr">
        <is>
          <t>TOTAL PAYABLE</t>
        </is>
      </c>
      <c r="B563" s="14" t="n"/>
      <c r="C563" s="14" t="n">
        <v>1000</v>
      </c>
      <c r="D563" s="21" t="n">
        <v>49000</v>
      </c>
      <c r="F563" s="14" t="inlineStr">
        <is>
          <t>TOTAL PAYABLE</t>
        </is>
      </c>
      <c r="G563" s="14" t="n"/>
      <c r="H563" s="14" t="n">
        <v>1000</v>
      </c>
      <c r="I563" s="21" t="n">
        <v>24000</v>
      </c>
    </row>
    <row r="564" ht="16.5" customHeight="1"/>
    <row r="565" ht="20.25" customHeight="1">
      <c r="A565" s="14" t="inlineStr">
        <is>
          <t>NAME</t>
        </is>
      </c>
      <c r="B565" s="14" t="inlineStr">
        <is>
          <t>PUNAMJI</t>
        </is>
      </c>
      <c r="C565" s="14" t="inlineStr">
        <is>
          <t>BADURPLY</t>
        </is>
      </c>
      <c r="D565" s="21" t="inlineStr">
        <is>
          <t>2026-01-15</t>
        </is>
      </c>
      <c r="F565" s="14" t="inlineStr">
        <is>
          <t>NAME</t>
        </is>
      </c>
      <c r="G565" s="14" t="inlineStr">
        <is>
          <t>NARAYANJI</t>
        </is>
      </c>
      <c r="H565" s="14" t="inlineStr">
        <is>
          <t>KOTLAPUR</t>
        </is>
      </c>
      <c r="I565" s="21" t="inlineStr">
        <is>
          <t>2026-01-15</t>
        </is>
      </c>
    </row>
    <row r="566" ht="20.25" customHeight="1">
      <c r="A566" s="21" t="inlineStr">
        <is>
          <t>Month</t>
        </is>
      </c>
      <c r="B566" s="21" t="inlineStr">
        <is>
          <t>Plan</t>
        </is>
      </c>
      <c r="C566" s="21" t="inlineStr">
        <is>
          <t>Commission</t>
        </is>
      </c>
      <c r="D566" s="21" t="inlineStr">
        <is>
          <t>Amount</t>
        </is>
      </c>
      <c r="F566" s="21" t="inlineStr">
        <is>
          <t>Month</t>
        </is>
      </c>
      <c r="G566" s="21" t="inlineStr">
        <is>
          <t>Plan</t>
        </is>
      </c>
      <c r="H566" s="21" t="inlineStr">
        <is>
          <t>Commission</t>
        </is>
      </c>
      <c r="I566" s="21" t="inlineStr">
        <is>
          <t>Amount</t>
        </is>
      </c>
    </row>
    <row r="567" ht="20.25" customHeight="1">
      <c r="A567" s="21" t="n">
        <v>5</v>
      </c>
      <c r="B567" s="21" t="n">
        <v>500000</v>
      </c>
      <c r="C567" s="21" t="n">
        <v>1000</v>
      </c>
      <c r="D567" s="21" t="n">
        <v>24000</v>
      </c>
      <c r="F567" s="21" t="n">
        <v>5</v>
      </c>
      <c r="G567" s="21" t="n">
        <v>500000</v>
      </c>
      <c r="H567" s="21" t="n">
        <v>1000</v>
      </c>
      <c r="I567" s="21" t="n">
        <v>24000</v>
      </c>
    </row>
    <row r="568" ht="20.25" customHeight="1">
      <c r="A568" s="21" t="n"/>
      <c r="B568" s="21" t="n"/>
      <c r="C568" s="21" t="n"/>
      <c r="D568" s="21" t="n"/>
      <c r="F568" s="21" t="n"/>
      <c r="G568" s="21" t="n"/>
      <c r="H568" s="21" t="n"/>
      <c r="I568" s="21" t="n"/>
    </row>
    <row r="569" ht="20.25" customHeight="1">
      <c r="A569" s="21" t="n"/>
      <c r="B569" s="21" t="n"/>
      <c r="C569" s="21" t="n"/>
      <c r="D569" s="21" t="n"/>
      <c r="F569" s="21" t="n"/>
      <c r="G569" s="21" t="n"/>
      <c r="H569" s="21" t="n"/>
      <c r="I569" s="21" t="n"/>
    </row>
    <row r="570" ht="20.25" customHeight="1">
      <c r="A570" s="21" t="n"/>
      <c r="B570" s="21" t="n"/>
      <c r="C570" s="21" t="n"/>
      <c r="D570" s="21" t="n"/>
      <c r="F570" s="21" t="n"/>
      <c r="G570" s="21" t="n"/>
      <c r="H570" s="21" t="n"/>
      <c r="I570" s="21" t="n"/>
    </row>
    <row r="571" ht="20.25" customHeight="1">
      <c r="A571" s="21" t="n"/>
      <c r="B571" s="21" t="n"/>
      <c r="C571" s="21" t="n"/>
      <c r="D571" s="21" t="n"/>
      <c r="F571" s="21" t="n"/>
      <c r="G571" s="21" t="n"/>
      <c r="H571" s="21" t="n"/>
      <c r="I571" s="21" t="n"/>
    </row>
    <row r="572" ht="20.25" customHeight="1">
      <c r="A572" s="14" t="inlineStr">
        <is>
          <t>TOTAL PAYABLE</t>
        </is>
      </c>
      <c r="B572" s="14" t="n"/>
      <c r="C572" s="14" t="n">
        <v>1000</v>
      </c>
      <c r="D572" s="21" t="n">
        <v>24000</v>
      </c>
      <c r="F572" s="14" t="inlineStr">
        <is>
          <t>TOTAL PAYABLE</t>
        </is>
      </c>
      <c r="G572" s="14" t="n"/>
      <c r="H572" s="14" t="n">
        <v>1000</v>
      </c>
      <c r="I572" s="21" t="n">
        <v>24000</v>
      </c>
    </row>
    <row r="573" ht="16.5" customHeight="1"/>
    <row r="574" ht="20.25" customHeight="1">
      <c r="A574" s="6" t="n"/>
      <c r="B574" s="6" t="n"/>
      <c r="C574" s="6" t="n"/>
      <c r="D574" s="21" t="n"/>
    </row>
    <row r="575" ht="20.25" customHeight="1">
      <c r="A575" s="21" t="n"/>
      <c r="B575" s="21" t="n"/>
      <c r="C575" s="21" t="n"/>
      <c r="D575" s="21" t="n"/>
    </row>
    <row r="576" ht="20.25" customHeight="1">
      <c r="A576" s="21" t="n"/>
      <c r="B576" s="21" t="n"/>
      <c r="C576" s="21" t="n"/>
      <c r="D576" s="21" t="n"/>
    </row>
    <row r="577" ht="20.25" customHeight="1">
      <c r="A577" s="21" t="n"/>
      <c r="B577" s="21" t="n"/>
      <c r="C577" s="21" t="n"/>
      <c r="D577" s="21" t="n"/>
    </row>
    <row r="578" ht="20.25" customHeight="1">
      <c r="A578" s="21" t="n"/>
      <c r="B578" s="21" t="n"/>
      <c r="C578" s="21" t="n"/>
      <c r="D578" s="21" t="n"/>
    </row>
    <row r="579" ht="20.25" customHeight="1">
      <c r="A579" s="21" t="n"/>
      <c r="B579" s="21" t="n"/>
      <c r="C579" s="21" t="n"/>
      <c r="D579" s="21" t="n"/>
    </row>
    <row r="580" ht="20.25" customHeight="1">
      <c r="A580" s="21" t="n"/>
      <c r="B580" s="21" t="n"/>
      <c r="C580" s="21" t="n"/>
      <c r="D580" s="21" t="n"/>
    </row>
    <row r="581" ht="20.25" customHeight="1">
      <c r="A581" s="13" t="n"/>
      <c r="B581" s="13" t="n"/>
      <c r="C581" s="13" t="n"/>
      <c r="D581" s="21" t="n"/>
    </row>
    <row r="582" ht="15.75" customHeight="1"/>
  </sheetData>
  <pageMargins left="0.27" right="0.12" top="0.35" bottom="0.5" header="0.3" footer="0.3"/>
  <pageSetup orientation="portrait" paperSize="9" scale="1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581"/>
  <sheetViews>
    <sheetView tabSelected="1" topLeftCell="A34" zoomScaleNormal="100" workbookViewId="0">
      <selection activeCell="I54" sqref="I54"/>
    </sheetView>
  </sheetViews>
  <sheetFormatPr baseColWidth="8" defaultRowHeight="15"/>
  <cols>
    <col width="10" customWidth="1" min="1" max="1"/>
    <col width="21.42578125" customWidth="1" min="2" max="2"/>
    <col width="15.28515625" customWidth="1" min="3" max="3"/>
    <col width="17.7109375" customWidth="1" min="4" max="4"/>
    <col width="1.85546875" customWidth="1" min="5" max="5"/>
    <col width="10.28515625" customWidth="1" min="6" max="6"/>
    <col width="21.5703125" customWidth="1" min="7" max="7"/>
    <col width="15.7109375" customWidth="1" min="8" max="8"/>
    <col width="17.7109375" customWidth="1" min="9" max="9"/>
    <col width="1.85546875" customWidth="1" min="10" max="10"/>
    <col width="1.140625" customWidth="1" min="11" max="11"/>
    <col width="8.140625" customWidth="1" min="12" max="12"/>
    <col width="14" customWidth="1" min="13" max="13"/>
    <col width="11.5703125" customWidth="1" min="14" max="14"/>
    <col width="11.28515625" customWidth="1" min="15" max="15"/>
    <col width="12.85546875" customWidth="1" min="16" max="16"/>
    <col width="13.28515625" customWidth="1" min="17" max="17"/>
    <col width="11.5703125" customWidth="1" min="18" max="18"/>
    <col width="4.140625" customWidth="1" min="19" max="19"/>
    <col width="11.5703125" customWidth="1" min="20" max="20"/>
    <col width="15.28515625" customWidth="1" min="21" max="21"/>
    <col width="13.42578125" customWidth="1" min="22" max="22"/>
    <col width="5.140625" customWidth="1" min="23" max="23"/>
    <col width="11.7109375" customWidth="1" min="24" max="24"/>
    <col width="15.28515625" customWidth="1" min="25" max="25"/>
    <col width="15.42578125" customWidth="1" min="26" max="26"/>
  </cols>
  <sheetData>
    <row r="1" ht="20.25" customHeight="1">
      <c r="A1" s="19" t="inlineStr">
        <is>
          <t>Name</t>
        </is>
      </c>
      <c r="B1" s="20" t="inlineStr">
        <is>
          <t>SOHANJI</t>
        </is>
      </c>
      <c r="C1" s="20" t="inlineStr">
        <is>
          <t>ALWN.CO</t>
        </is>
      </c>
      <c r="D1" s="20" t="inlineStr">
        <is>
          <t>2026-01-04</t>
        </is>
      </c>
      <c r="E1" s="21" t="n"/>
      <c r="F1" s="15" t="inlineStr">
        <is>
          <t>NAME</t>
        </is>
      </c>
      <c r="G1" s="15" t="inlineStr">
        <is>
          <t>SURESH</t>
        </is>
      </c>
      <c r="H1" s="15" t="inlineStr">
        <is>
          <t>JODHPUR</t>
        </is>
      </c>
      <c r="I1" s="21" t="inlineStr">
        <is>
          <t>2026-01-04</t>
        </is>
      </c>
      <c r="J1" s="22" t="n"/>
      <c r="L1" s="1" t="n"/>
      <c r="M1" s="1" t="n"/>
      <c r="N1" s="22" t="n"/>
      <c r="O1" s="22" t="n"/>
      <c r="P1" s="23" t="n"/>
      <c r="Q1" s="22" t="n"/>
      <c r="R1" s="22" t="n"/>
      <c r="S1" s="1" t="n"/>
      <c r="U1" s="1" t="n"/>
      <c r="V1" s="5" t="n"/>
      <c r="W1" s="1" t="n"/>
      <c r="X1" s="1" t="n"/>
      <c r="Y1" s="1" t="n"/>
      <c r="Z1" s="1" t="n"/>
    </row>
    <row r="2" ht="25.5" customHeight="1">
      <c r="A2" s="20" t="inlineStr">
        <is>
          <t>Month</t>
        </is>
      </c>
      <c r="B2" s="20" t="inlineStr">
        <is>
          <t>Plan</t>
        </is>
      </c>
      <c r="C2" s="20" t="inlineStr">
        <is>
          <t>Commission</t>
        </is>
      </c>
      <c r="D2" s="20" t="inlineStr">
        <is>
          <t>Amount</t>
        </is>
      </c>
      <c r="E2" s="21" t="n"/>
      <c r="F2" s="21" t="inlineStr">
        <is>
          <t>Month</t>
        </is>
      </c>
      <c r="G2" s="21" t="inlineStr">
        <is>
          <t>Plan</t>
        </is>
      </c>
      <c r="H2" s="21" t="inlineStr">
        <is>
          <t>Commission</t>
        </is>
      </c>
      <c r="I2" s="21" t="inlineStr">
        <is>
          <t>Amount</t>
        </is>
      </c>
      <c r="K2" s="1" t="n"/>
      <c r="L2" s="22" t="inlineStr">
        <is>
          <t>Month</t>
        </is>
      </c>
      <c r="M2" s="22" t="inlineStr">
        <is>
          <t>Plan Amt</t>
        </is>
      </c>
      <c r="N2" s="23" t="inlineStr">
        <is>
          <t>Total Commission</t>
        </is>
      </c>
      <c r="O2" s="22" t="n"/>
      <c r="P2" s="24" t="inlineStr">
        <is>
          <t>Commission</t>
        </is>
      </c>
      <c r="Q2" s="22" t="inlineStr">
        <is>
          <t>Month|Plan</t>
        </is>
      </c>
      <c r="R2" s="22" t="inlineStr">
        <is>
          <t>Amount</t>
        </is>
      </c>
      <c r="S2" s="1" t="n"/>
      <c r="T2" s="22" t="inlineStr">
        <is>
          <t>AMOUNT</t>
        </is>
      </c>
      <c r="U2" s="22" t="inlineStr">
        <is>
          <t xml:space="preserve"> NAME</t>
        </is>
      </c>
      <c r="V2" s="22" t="inlineStr">
        <is>
          <t>AREA</t>
        </is>
      </c>
      <c r="W2" s="1" t="n"/>
      <c r="X2" s="22" t="inlineStr">
        <is>
          <t>AMOUNT</t>
        </is>
      </c>
      <c r="Y2" s="22" t="inlineStr">
        <is>
          <t>NAME</t>
        </is>
      </c>
      <c r="Z2" s="22" t="inlineStr">
        <is>
          <t>AREA</t>
        </is>
      </c>
    </row>
    <row r="3" ht="20.25" customHeight="1">
      <c r="A3" s="20" t="n">
        <v>20</v>
      </c>
      <c r="B3" s="20" t="n">
        <v>1000000</v>
      </c>
      <c r="C3" s="20" t="n">
        <v>0</v>
      </c>
      <c r="D3" s="20" t="n">
        <v>50000</v>
      </c>
      <c r="E3" s="21" t="n"/>
      <c r="F3" s="21" t="n">
        <v>20</v>
      </c>
      <c r="G3" s="21" t="n">
        <v>500000</v>
      </c>
      <c r="H3" s="21" t="n">
        <v>0</v>
      </c>
      <c r="I3" s="21" t="n">
        <v>25000</v>
      </c>
      <c r="J3" s="22" t="n"/>
      <c r="K3" s="1" t="n"/>
      <c r="L3" s="22" t="n">
        <v>14</v>
      </c>
      <c r="M3" s="22" t="n">
        <v>500000</v>
      </c>
      <c r="N3" s="22" t="n">
        <v>18000</v>
      </c>
      <c r="O3" s="22">
        <f>L3&amp;"|"&amp;M3</f>
        <v/>
      </c>
      <c r="P3" s="22" t="n">
        <v>900</v>
      </c>
      <c r="Q3" s="22">
        <f>L3&amp;"|"&amp;M3</f>
        <v/>
      </c>
      <c r="R3" s="22" t="n">
        <v>24100</v>
      </c>
      <c r="S3" s="1" t="n"/>
      <c r="T3" s="1">
        <f>D8</f>
        <v/>
      </c>
      <c r="U3" s="1">
        <f>B1</f>
        <v/>
      </c>
      <c r="V3" s="1">
        <f>C1</f>
        <v/>
      </c>
      <c r="W3" s="1" t="n"/>
      <c r="X3" s="1">
        <f>I8</f>
        <v/>
      </c>
      <c r="Y3" s="1">
        <f>G1</f>
        <v/>
      </c>
      <c r="Z3" s="1">
        <f>H1</f>
        <v/>
      </c>
    </row>
    <row r="4" ht="20.25" customHeight="1">
      <c r="A4" s="20" t="n">
        <v>9</v>
      </c>
      <c r="B4" s="20" t="n">
        <v>500000</v>
      </c>
      <c r="C4" s="20" t="n">
        <v>2000</v>
      </c>
      <c r="D4" s="20" t="n">
        <v>23000</v>
      </c>
      <c r="E4" s="21" t="n"/>
      <c r="F4" s="21" t="n"/>
      <c r="G4" s="21" t="n"/>
      <c r="H4" s="21" t="n"/>
      <c r="I4" s="21" t="n"/>
      <c r="J4" s="22" t="n"/>
      <c r="K4" s="1" t="n"/>
      <c r="L4" s="22" t="n">
        <v>14</v>
      </c>
      <c r="M4" s="22" t="n">
        <v>250000</v>
      </c>
      <c r="N4" s="22" t="n">
        <v>9000</v>
      </c>
      <c r="O4" s="22">
        <f>L4&amp;"|"&amp;M4</f>
        <v/>
      </c>
      <c r="P4" s="22" t="n">
        <v>450</v>
      </c>
      <c r="Q4" s="22">
        <f>L4&amp;"|"&amp;M4</f>
        <v/>
      </c>
      <c r="R4" s="22" t="n">
        <v>12050</v>
      </c>
      <c r="S4" s="1" t="n"/>
      <c r="T4" s="1">
        <f>D17</f>
        <v/>
      </c>
      <c r="U4" s="1">
        <f>B10</f>
        <v/>
      </c>
      <c r="V4" s="1">
        <f>C10</f>
        <v/>
      </c>
      <c r="W4" s="1" t="n"/>
      <c r="X4" s="1">
        <f>I17</f>
        <v/>
      </c>
      <c r="Y4" s="1">
        <f>G10</f>
        <v/>
      </c>
      <c r="Z4" s="1">
        <f>H10</f>
        <v/>
      </c>
    </row>
    <row r="5" ht="20.25" customHeight="1">
      <c r="A5" s="20" t="n"/>
      <c r="B5" s="20" t="n"/>
      <c r="C5" s="20" t="n"/>
      <c r="D5" s="20" t="n"/>
      <c r="E5" s="21" t="n"/>
      <c r="F5" s="21" t="n"/>
      <c r="G5" s="21" t="n"/>
      <c r="H5" s="21" t="n"/>
      <c r="I5" s="21" t="n"/>
      <c r="J5" s="22" t="n"/>
      <c r="K5" s="1" t="n"/>
      <c r="L5" s="1" t="n">
        <v>9</v>
      </c>
      <c r="M5" s="1" t="n">
        <v>2000000</v>
      </c>
      <c r="N5" s="1" t="n">
        <v>140000</v>
      </c>
      <c r="O5" s="22">
        <f>L5&amp;"|"&amp;M5</f>
        <v/>
      </c>
      <c r="P5" s="22" t="n">
        <v>7000</v>
      </c>
      <c r="Q5" s="22">
        <f>L5&amp;"|"&amp;M5</f>
        <v/>
      </c>
      <c r="R5" s="22" t="n">
        <v>93000</v>
      </c>
      <c r="S5" s="1" t="n"/>
      <c r="T5" s="1">
        <f>D26</f>
        <v/>
      </c>
      <c r="U5" s="1">
        <f>B19</f>
        <v/>
      </c>
      <c r="V5" s="1">
        <f>C19</f>
        <v/>
      </c>
      <c r="W5" s="1" t="n"/>
      <c r="X5" s="1">
        <f>I26</f>
        <v/>
      </c>
      <c r="Y5" s="1">
        <f>G19</f>
        <v/>
      </c>
      <c r="Z5" s="1">
        <f>H19</f>
        <v/>
      </c>
    </row>
    <row r="6" ht="20.25" customHeight="1">
      <c r="A6" s="20" t="n"/>
      <c r="B6" s="20" t="n"/>
      <c r="C6" s="20" t="n"/>
      <c r="D6" s="20" t="n"/>
      <c r="E6" s="21" t="n"/>
      <c r="F6" s="21" t="n"/>
      <c r="G6" s="21" t="n"/>
      <c r="H6" s="21" t="n"/>
      <c r="I6" s="21" t="n"/>
      <c r="J6" s="22" t="n"/>
      <c r="K6" s="1" t="n"/>
      <c r="L6" s="22" t="n">
        <v>9</v>
      </c>
      <c r="M6" s="22" t="n">
        <v>500000</v>
      </c>
      <c r="N6" s="22" t="n">
        <v>40000</v>
      </c>
      <c r="O6" s="22">
        <f>L6&amp;"|"&amp;M6</f>
        <v/>
      </c>
      <c r="P6" s="22" t="n">
        <v>2000</v>
      </c>
      <c r="Q6" s="22">
        <f>L6&amp;"|"&amp;M6</f>
        <v/>
      </c>
      <c r="R6" s="22" t="n">
        <v>23000</v>
      </c>
      <c r="S6" s="1" t="n"/>
      <c r="T6" s="1">
        <f>D35</f>
        <v/>
      </c>
      <c r="U6" s="25">
        <f>B28</f>
        <v/>
      </c>
      <c r="V6" s="1">
        <f>C28</f>
        <v/>
      </c>
      <c r="W6" s="1" t="n"/>
      <c r="X6" s="1">
        <f>I35</f>
        <v/>
      </c>
      <c r="Y6" s="1">
        <f>G28</f>
        <v/>
      </c>
      <c r="Z6" s="1">
        <f>H28</f>
        <v/>
      </c>
    </row>
    <row r="7" ht="20.25" customHeight="1">
      <c r="A7" s="20" t="n"/>
      <c r="B7" s="20" t="n"/>
      <c r="C7" s="20" t="n"/>
      <c r="D7" s="20" t="n"/>
      <c r="E7" s="21" t="n"/>
      <c r="F7" s="21" t="n"/>
      <c r="G7" s="21" t="n"/>
      <c r="H7" s="21" t="n"/>
      <c r="I7" s="21" t="n"/>
      <c r="J7" s="22" t="n"/>
      <c r="K7" s="1" t="n"/>
      <c r="L7" s="22" t="inlineStr">
        <is>
          <t>20.1</t>
        </is>
      </c>
      <c r="M7" s="22" t="n">
        <v>500000</v>
      </c>
      <c r="N7" s="22" t="n">
        <v>0</v>
      </c>
      <c r="O7" s="22">
        <f>L7&amp;"|"&amp;M7</f>
        <v/>
      </c>
      <c r="P7" s="22" t="n">
        <v>0</v>
      </c>
      <c r="Q7" s="22">
        <f>L7&amp;"|"&amp;M7</f>
        <v/>
      </c>
      <c r="R7" s="22" t="n">
        <v>25000</v>
      </c>
      <c r="S7" s="1" t="n"/>
      <c r="T7" s="1">
        <f>D44</f>
        <v/>
      </c>
      <c r="U7" s="1">
        <f>B37</f>
        <v/>
      </c>
      <c r="V7" s="1">
        <f>C37</f>
        <v/>
      </c>
      <c r="W7" s="1" t="n"/>
      <c r="X7" s="1">
        <f>I44</f>
        <v/>
      </c>
      <c r="Y7" s="1">
        <f>G37</f>
        <v/>
      </c>
      <c r="Z7" s="1">
        <f>H37</f>
        <v/>
      </c>
    </row>
    <row r="8" ht="20.25" customHeight="1">
      <c r="A8" s="20" t="inlineStr">
        <is>
          <t>Total Payable</t>
        </is>
      </c>
      <c r="B8" s="20" t="n"/>
      <c r="C8" s="20" t="n"/>
      <c r="D8" s="20" t="n">
        <v>73000</v>
      </c>
      <c r="E8" s="21" t="n"/>
      <c r="F8" s="21" t="inlineStr">
        <is>
          <t>Total Payable</t>
        </is>
      </c>
      <c r="I8" s="21" t="n">
        <v>25000</v>
      </c>
      <c r="J8" s="22" t="n"/>
      <c r="K8" s="1" t="n"/>
      <c r="L8" s="22" t="n">
        <v>20</v>
      </c>
      <c r="M8" s="22" t="n">
        <v>1000000</v>
      </c>
      <c r="N8" s="22" t="n">
        <v>0</v>
      </c>
      <c r="O8" s="22">
        <f>L8&amp;"|"&amp;M8</f>
        <v/>
      </c>
      <c r="P8" s="22" t="n">
        <v>0</v>
      </c>
      <c r="Q8" s="22">
        <f>L8&amp;"|"&amp;M8</f>
        <v/>
      </c>
      <c r="R8" s="22" t="n">
        <v>50000</v>
      </c>
      <c r="S8" s="1" t="n"/>
      <c r="T8" s="1">
        <f>D53</f>
        <v/>
      </c>
      <c r="U8" s="1">
        <f>B46</f>
        <v/>
      </c>
      <c r="V8" s="1">
        <f>C46</f>
        <v/>
      </c>
      <c r="W8" s="1" t="n"/>
      <c r="X8" s="1">
        <f>I53</f>
        <v/>
      </c>
      <c r="Y8" s="1">
        <f>G46</f>
        <v/>
      </c>
      <c r="Z8" s="1">
        <f>H46</f>
        <v/>
      </c>
    </row>
    <row r="9" ht="20.25" customHeight="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2" t="n"/>
      <c r="K9" s="1" t="n"/>
      <c r="L9" s="22" t="inlineStr">
        <is>
          <t>20.1</t>
        </is>
      </c>
      <c r="M9" s="22" t="n">
        <v>1000000</v>
      </c>
      <c r="N9" s="22" t="n">
        <v>0</v>
      </c>
      <c r="O9" s="22">
        <f>L9&amp;"|"&amp;M9</f>
        <v/>
      </c>
      <c r="P9" s="22" t="n">
        <v>0</v>
      </c>
      <c r="Q9" s="22">
        <f>L9&amp;"|"&amp;M9</f>
        <v/>
      </c>
      <c r="R9" s="22" t="n">
        <v>50000</v>
      </c>
      <c r="S9" s="1" t="n"/>
      <c r="T9" s="1">
        <f>D62</f>
        <v/>
      </c>
      <c r="U9" s="1">
        <f>B55</f>
        <v/>
      </c>
      <c r="V9" s="1">
        <f>C55</f>
        <v/>
      </c>
      <c r="W9" s="1" t="n"/>
      <c r="X9" s="1">
        <f>I62</f>
        <v/>
      </c>
      <c r="Y9" s="1">
        <f>G55</f>
        <v/>
      </c>
      <c r="Z9" s="1">
        <f>H55</f>
        <v/>
      </c>
    </row>
    <row r="10" ht="20.25" customHeight="1">
      <c r="A10" s="20" t="inlineStr">
        <is>
          <t>Name</t>
        </is>
      </c>
      <c r="B10" s="20" t="inlineStr">
        <is>
          <t>JIVARAMJI</t>
        </is>
      </c>
      <c r="C10" s="20" t="inlineStr">
        <is>
          <t>YAMJAL</t>
        </is>
      </c>
      <c r="D10" s="20" t="inlineStr">
        <is>
          <t>2026-01-04</t>
        </is>
      </c>
      <c r="E10" s="21" t="n"/>
      <c r="F10" s="21" t="inlineStr">
        <is>
          <t>Name</t>
        </is>
      </c>
      <c r="G10" s="21" t="inlineStr">
        <is>
          <t>BHAWARJI</t>
        </is>
      </c>
      <c r="H10" s="21" t="inlineStr">
        <is>
          <t>BAJPLY</t>
        </is>
      </c>
      <c r="I10" s="21" t="inlineStr">
        <is>
          <t>2026-01-04</t>
        </is>
      </c>
      <c r="J10" s="22" t="n"/>
      <c r="K10" s="1" t="n"/>
      <c r="L10" s="22" t="n">
        <v>17</v>
      </c>
      <c r="M10" s="22" t="n">
        <v>500000</v>
      </c>
      <c r="N10" s="22" t="n">
        <v>8000</v>
      </c>
      <c r="O10" s="22">
        <f>L10&amp;"|"&amp;M10</f>
        <v/>
      </c>
      <c r="P10" s="22" t="n">
        <v>400</v>
      </c>
      <c r="Q10" s="22">
        <f>L10&amp;"|"&amp;M10</f>
        <v/>
      </c>
      <c r="R10" s="22" t="n">
        <v>24600</v>
      </c>
      <c r="S10" s="1" t="n"/>
      <c r="T10" s="1">
        <f>D71</f>
        <v/>
      </c>
      <c r="U10" s="1">
        <f>B64</f>
        <v/>
      </c>
      <c r="V10" s="1">
        <f>C64</f>
        <v/>
      </c>
      <c r="W10" s="1" t="n"/>
      <c r="X10" s="1">
        <f>I71</f>
        <v/>
      </c>
      <c r="Y10" s="1">
        <f>G64</f>
        <v/>
      </c>
      <c r="Z10" s="1">
        <f>H64</f>
        <v/>
      </c>
    </row>
    <row r="11" ht="20.25" customHeight="1">
      <c r="A11" s="20" t="inlineStr">
        <is>
          <t>Month</t>
        </is>
      </c>
      <c r="B11" s="20" t="inlineStr">
        <is>
          <t>Plan</t>
        </is>
      </c>
      <c r="C11" s="20" t="inlineStr">
        <is>
          <t>Commission</t>
        </is>
      </c>
      <c r="D11" s="20" t="inlineStr">
        <is>
          <t>Amount</t>
        </is>
      </c>
      <c r="E11" s="21" t="n"/>
      <c r="F11" s="21" t="inlineStr">
        <is>
          <t>Month</t>
        </is>
      </c>
      <c r="G11" s="21" t="inlineStr">
        <is>
          <t>Plan</t>
        </is>
      </c>
      <c r="H11" s="21" t="inlineStr">
        <is>
          <t>Commission</t>
        </is>
      </c>
      <c r="I11" s="21" t="inlineStr">
        <is>
          <t>Amount</t>
        </is>
      </c>
      <c r="J11" s="22" t="n"/>
      <c r="K11" s="1" t="n"/>
      <c r="L11" s="22" t="n">
        <v>4</v>
      </c>
      <c r="M11" s="22" t="n">
        <v>500000</v>
      </c>
      <c r="N11" s="22" t="n">
        <v>65000</v>
      </c>
      <c r="O11" s="22">
        <f>L11&amp;"|"&amp;M11</f>
        <v/>
      </c>
      <c r="P11" s="22" t="n">
        <v>3250</v>
      </c>
      <c r="Q11" s="22">
        <f>L11&amp;"|"&amp;M11</f>
        <v/>
      </c>
      <c r="R11" s="22" t="n">
        <v>21750</v>
      </c>
      <c r="S11" s="1" t="n"/>
      <c r="T11" s="1">
        <f>D85</f>
        <v/>
      </c>
      <c r="U11" s="1">
        <f>B73</f>
        <v/>
      </c>
      <c r="V11" s="1">
        <f>C73</f>
        <v/>
      </c>
      <c r="W11" s="1" t="n"/>
      <c r="X11" s="1">
        <f>I85</f>
        <v/>
      </c>
      <c r="Y11" s="1">
        <f>G73</f>
        <v/>
      </c>
      <c r="Z11" s="1">
        <f>H73</f>
        <v/>
      </c>
    </row>
    <row r="12" ht="20.25" customHeight="1">
      <c r="A12" s="20" t="n">
        <v>20</v>
      </c>
      <c r="B12" s="20" t="n">
        <v>500000</v>
      </c>
      <c r="C12" s="20" t="n">
        <v>0</v>
      </c>
      <c r="D12" s="20" t="n">
        <v>25000</v>
      </c>
      <c r="E12" s="21" t="n"/>
      <c r="F12" s="21" t="n">
        <v>20</v>
      </c>
      <c r="G12" s="21" t="n">
        <v>500000</v>
      </c>
      <c r="H12" s="21" t="n">
        <v>0</v>
      </c>
      <c r="I12" s="21" t="n">
        <v>25000</v>
      </c>
      <c r="J12" s="22" t="n"/>
      <c r="K12" s="1" t="n"/>
      <c r="L12" s="22" t="n">
        <v>4</v>
      </c>
      <c r="M12" s="22" t="n">
        <v>1000000</v>
      </c>
      <c r="N12" s="22" t="n">
        <v>155000</v>
      </c>
      <c r="O12" s="22">
        <f>L12&amp;"|"&amp;M12</f>
        <v/>
      </c>
      <c r="P12" s="22" t="n">
        <v>7750</v>
      </c>
      <c r="Q12" s="22">
        <f>L12&amp;"|"&amp;M12</f>
        <v/>
      </c>
      <c r="R12" s="22" t="n">
        <v>42250</v>
      </c>
      <c r="S12" s="1" t="n"/>
      <c r="T12" s="1">
        <f>D94</f>
        <v/>
      </c>
      <c r="U12" s="1">
        <f>B87</f>
        <v/>
      </c>
      <c r="V12" s="1">
        <f>C87</f>
        <v/>
      </c>
      <c r="W12" s="1" t="n"/>
      <c r="X12" s="1">
        <f>I94</f>
        <v/>
      </c>
      <c r="Y12" s="1">
        <f>G87</f>
        <v/>
      </c>
      <c r="Z12" s="1">
        <f>H87</f>
        <v/>
      </c>
    </row>
    <row r="13" ht="20.25" customHeight="1">
      <c r="A13" s="20" t="n"/>
      <c r="B13" s="20" t="n"/>
      <c r="C13" s="20" t="n"/>
      <c r="D13" s="20" t="n"/>
      <c r="E13" s="21" t="n"/>
      <c r="F13" s="21" t="n"/>
      <c r="G13" s="21" t="n"/>
      <c r="H13" s="21" t="n"/>
      <c r="I13" s="21" t="n"/>
      <c r="J13" s="22" t="n"/>
      <c r="K13" s="1" t="n"/>
      <c r="L13" s="22" t="inlineStr">
        <is>
          <t>4.1</t>
        </is>
      </c>
      <c r="M13" s="1" t="n">
        <v>1000000</v>
      </c>
      <c r="N13" s="1" t="n">
        <v>154000</v>
      </c>
      <c r="O13" s="22">
        <f>L13&amp;"|"&amp;M13</f>
        <v/>
      </c>
      <c r="P13" s="22" t="n">
        <v>7700</v>
      </c>
      <c r="Q13" s="22">
        <f>L13&amp;"|"&amp;M13</f>
        <v/>
      </c>
      <c r="R13" s="22" t="n">
        <v>42300</v>
      </c>
      <c r="S13" s="1" t="n"/>
      <c r="T13" s="1">
        <f>D103</f>
        <v/>
      </c>
      <c r="U13" s="1">
        <f>B96</f>
        <v/>
      </c>
      <c r="V13" s="1">
        <f>C96</f>
        <v/>
      </c>
      <c r="W13" s="1" t="n"/>
      <c r="X13" s="1">
        <f>I103</f>
        <v/>
      </c>
      <c r="Y13" s="1">
        <f>G96</f>
        <v/>
      </c>
      <c r="Z13" s="1">
        <f>H96</f>
        <v/>
      </c>
    </row>
    <row r="14" ht="20.25" customHeight="1">
      <c r="A14" s="20" t="n"/>
      <c r="B14" s="20" t="n"/>
      <c r="C14" s="20" t="n"/>
      <c r="D14" s="20" t="n"/>
      <c r="E14" s="21" t="n"/>
      <c r="F14" s="21" t="n"/>
      <c r="G14" s="21" t="n"/>
      <c r="H14" s="21" t="n"/>
      <c r="I14" s="21" t="n"/>
      <c r="J14" s="22" t="n"/>
      <c r="K14" s="1" t="n"/>
      <c r="L14" s="22" t="n">
        <v>9</v>
      </c>
      <c r="M14" s="22" t="n">
        <v>1000000</v>
      </c>
      <c r="N14" s="22" t="n">
        <v>65000</v>
      </c>
      <c r="O14" s="22">
        <f>L14&amp;"|"&amp;M14</f>
        <v/>
      </c>
      <c r="P14" s="22" t="n">
        <v>3250</v>
      </c>
      <c r="Q14" s="22">
        <f>L14&amp;"|"&amp;M14</f>
        <v/>
      </c>
      <c r="R14" s="22" t="n">
        <v>46750</v>
      </c>
      <c r="S14" s="1" t="n"/>
      <c r="T14" s="1">
        <f>D112</f>
        <v/>
      </c>
      <c r="U14" s="1">
        <f>B105</f>
        <v/>
      </c>
      <c r="V14" s="1">
        <f>C105</f>
        <v/>
      </c>
      <c r="W14" s="1" t="n"/>
      <c r="X14" s="1">
        <f>I112</f>
        <v/>
      </c>
      <c r="Y14" s="1">
        <f>G105</f>
        <v/>
      </c>
      <c r="Z14" s="1">
        <f>H105</f>
        <v/>
      </c>
    </row>
    <row r="15" ht="20.25" customHeight="1">
      <c r="A15" s="20" t="n"/>
      <c r="B15" s="20" t="n"/>
      <c r="C15" s="20" t="n"/>
      <c r="D15" s="20" t="n"/>
      <c r="E15" s="21" t="n"/>
      <c r="F15" s="21" t="n"/>
      <c r="G15" s="21" t="n"/>
      <c r="H15" s="21" t="n"/>
      <c r="I15" s="21" t="n"/>
      <c r="J15" s="22" t="n"/>
      <c r="K15" s="1" t="n"/>
      <c r="L15" s="22" t="n">
        <v>20</v>
      </c>
      <c r="M15" s="22" t="n">
        <v>500000</v>
      </c>
      <c r="N15" s="22" t="n">
        <v>0</v>
      </c>
      <c r="O15" s="22">
        <f>L15&amp;"|"&amp;M15</f>
        <v/>
      </c>
      <c r="P15" s="22" t="n">
        <v>0</v>
      </c>
      <c r="Q15" s="22">
        <f>L15&amp;"|"&amp;M15</f>
        <v/>
      </c>
      <c r="R15" s="22" t="n">
        <v>25000</v>
      </c>
      <c r="S15" s="1" t="n"/>
      <c r="T15" s="1">
        <f>D121</f>
        <v/>
      </c>
      <c r="U15" s="1">
        <f>B114</f>
        <v/>
      </c>
      <c r="V15" s="1">
        <f>C114</f>
        <v/>
      </c>
      <c r="W15" s="1" t="n"/>
      <c r="X15" s="1">
        <f>I121</f>
        <v/>
      </c>
      <c r="Y15" s="1">
        <f>G114</f>
        <v/>
      </c>
      <c r="Z15" s="1">
        <f>H114</f>
        <v/>
      </c>
    </row>
    <row r="16" ht="20.25" customHeight="1">
      <c r="A16" s="20" t="n"/>
      <c r="B16" s="20" t="n"/>
      <c r="C16" s="20" t="n"/>
      <c r="D16" s="20" t="n"/>
      <c r="E16" s="2" t="n"/>
      <c r="F16" s="21" t="n"/>
      <c r="G16" s="21" t="n"/>
      <c r="H16" s="21" t="n"/>
      <c r="I16" s="21" t="n"/>
      <c r="J16" s="22" t="n"/>
      <c r="K16" s="1" t="n"/>
      <c r="L16" s="22" t="inlineStr">
        <is>
          <t>9.1</t>
        </is>
      </c>
      <c r="M16" s="22" t="n">
        <v>1000000</v>
      </c>
      <c r="N16" s="22" t="n">
        <v>70000</v>
      </c>
      <c r="O16" s="22">
        <f>L16&amp;"|"&amp;M16</f>
        <v/>
      </c>
      <c r="P16" s="22" t="n">
        <v>3500</v>
      </c>
      <c r="Q16" s="22">
        <f>L16&amp;"|"&amp;M16</f>
        <v/>
      </c>
      <c r="R16" s="22" t="n">
        <v>46500</v>
      </c>
      <c r="S16" s="1" t="n"/>
      <c r="T16" s="1">
        <f>D130</f>
        <v/>
      </c>
      <c r="U16" s="1">
        <f>B123</f>
        <v/>
      </c>
      <c r="V16" s="1">
        <f>C123</f>
        <v/>
      </c>
      <c r="W16" s="1" t="n"/>
      <c r="X16" s="1">
        <f>I130</f>
        <v/>
      </c>
      <c r="Y16" s="1">
        <f>G123</f>
        <v/>
      </c>
      <c r="Z16" s="1">
        <f>H123</f>
        <v/>
      </c>
    </row>
    <row r="17" ht="20.25" customHeight="1">
      <c r="A17" s="20" t="inlineStr">
        <is>
          <t>Total Payable</t>
        </is>
      </c>
      <c r="B17" s="20" t="n"/>
      <c r="C17" s="20" t="n"/>
      <c r="D17" s="20" t="n">
        <v>25000</v>
      </c>
      <c r="E17" s="2" t="n"/>
      <c r="F17" s="21" t="inlineStr">
        <is>
          <t>Total Payable</t>
        </is>
      </c>
      <c r="I17" s="21" t="n">
        <v>25000</v>
      </c>
      <c r="J17" s="22" t="n"/>
      <c r="K17" s="1" t="n"/>
      <c r="L17" s="22" t="n"/>
      <c r="M17" s="1" t="n"/>
      <c r="N17" s="1" t="n"/>
      <c r="O17" s="22" t="n"/>
      <c r="P17" s="22" t="n"/>
      <c r="Q17" s="22" t="n"/>
      <c r="R17" s="22" t="n"/>
      <c r="S17" s="1" t="n"/>
      <c r="T17" s="1">
        <f>D139</f>
        <v/>
      </c>
      <c r="U17" s="1">
        <f>B132</f>
        <v/>
      </c>
      <c r="V17" s="1">
        <f>C132</f>
        <v/>
      </c>
      <c r="W17" s="1" t="n"/>
      <c r="X17" s="1">
        <f>I139</f>
        <v/>
      </c>
      <c r="Y17" s="1">
        <f>G132</f>
        <v/>
      </c>
      <c r="Z17" s="1">
        <f>H132</f>
        <v/>
      </c>
    </row>
    <row r="18" ht="20.25" customHeight="1">
      <c r="A18" s="3" t="n"/>
      <c r="B18" s="3" t="n"/>
      <c r="C18" s="3" t="n"/>
      <c r="D18" s="3" t="n"/>
      <c r="E18" s="3" t="n"/>
      <c r="F18" s="21" t="n"/>
      <c r="G18" s="21" t="n"/>
      <c r="H18" s="21" t="n"/>
      <c r="I18" s="21" t="n"/>
      <c r="J18" s="22" t="n"/>
      <c r="K18" s="1" t="n"/>
      <c r="L18" s="22" t="n">
        <v>20</v>
      </c>
      <c r="M18" s="1" t="n">
        <v>250000</v>
      </c>
      <c r="N18" s="1" t="n">
        <v>0</v>
      </c>
      <c r="O18" s="22">
        <f>L18&amp;"|"&amp;M18</f>
        <v/>
      </c>
      <c r="P18" s="22" t="n">
        <v>0</v>
      </c>
      <c r="Q18" s="22">
        <f>L18&amp;"|"&amp;M18</f>
        <v/>
      </c>
      <c r="R18" s="22" t="n">
        <v>12500</v>
      </c>
      <c r="S18" s="1" t="n"/>
      <c r="T18" s="1">
        <f>D148</f>
        <v/>
      </c>
      <c r="U18" s="1">
        <f>B141</f>
        <v/>
      </c>
      <c r="V18" s="1">
        <f>C141</f>
        <v/>
      </c>
      <c r="W18" s="1" t="n"/>
      <c r="X18" s="1">
        <f>I148</f>
        <v/>
      </c>
      <c r="Y18" s="1">
        <f>G141</f>
        <v/>
      </c>
      <c r="Z18" s="1">
        <f>H141</f>
        <v/>
      </c>
    </row>
    <row r="19" ht="20.25" customHeight="1">
      <c r="A19" s="20" t="inlineStr">
        <is>
          <t>Name</t>
        </is>
      </c>
      <c r="B19" s="20" t="inlineStr">
        <is>
          <t>MANGILALJI</t>
        </is>
      </c>
      <c r="C19" s="20" t="inlineStr">
        <is>
          <t>BOLARAM</t>
        </is>
      </c>
      <c r="D19" s="20" t="inlineStr">
        <is>
          <t>2026-01-04</t>
        </is>
      </c>
      <c r="E19" s="2" t="n"/>
      <c r="F19" s="21" t="inlineStr">
        <is>
          <t>Name</t>
        </is>
      </c>
      <c r="G19" s="21" t="inlineStr">
        <is>
          <t>NETHIRAMJI</t>
        </is>
      </c>
      <c r="H19" s="21" t="inlineStr">
        <is>
          <t>RAMARAM</t>
        </is>
      </c>
      <c r="I19" s="21" t="inlineStr">
        <is>
          <t>2026-01-04</t>
        </is>
      </c>
      <c r="J19" s="22" t="n"/>
      <c r="K19" s="1" t="n"/>
      <c r="L19" s="22" t="n"/>
      <c r="M19" s="1" t="n"/>
      <c r="N19" s="1" t="n"/>
      <c r="O19" s="22" t="n"/>
      <c r="P19" s="22" t="n"/>
      <c r="Q19" s="22" t="n"/>
      <c r="R19" s="22" t="n"/>
      <c r="S19" s="1" t="n"/>
      <c r="T19" s="1">
        <f>D157</f>
        <v/>
      </c>
      <c r="U19" s="1">
        <f>B150</f>
        <v/>
      </c>
      <c r="V19" s="1">
        <f>C150</f>
        <v/>
      </c>
      <c r="W19" s="1" t="n"/>
      <c r="X19" s="1">
        <f>I157</f>
        <v/>
      </c>
      <c r="Y19" s="1">
        <f>G150</f>
        <v/>
      </c>
      <c r="Z19" s="1">
        <f>H150</f>
        <v/>
      </c>
    </row>
    <row r="20" ht="20.25" customHeight="1">
      <c r="A20" s="20" t="inlineStr">
        <is>
          <t>Month</t>
        </is>
      </c>
      <c r="B20" s="20" t="inlineStr">
        <is>
          <t>Plan</t>
        </is>
      </c>
      <c r="C20" s="20" t="inlineStr">
        <is>
          <t>Commission</t>
        </is>
      </c>
      <c r="D20" s="20" t="inlineStr">
        <is>
          <t>Amount</t>
        </is>
      </c>
      <c r="E20" s="2" t="n"/>
      <c r="F20" s="21" t="inlineStr">
        <is>
          <t>Month</t>
        </is>
      </c>
      <c r="G20" s="21" t="inlineStr">
        <is>
          <t>Plan</t>
        </is>
      </c>
      <c r="H20" s="21" t="inlineStr">
        <is>
          <t>Commission</t>
        </is>
      </c>
      <c r="I20" s="21" t="inlineStr">
        <is>
          <t>Amount</t>
        </is>
      </c>
      <c r="J20" s="22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>
        <f>D166</f>
        <v/>
      </c>
      <c r="U20" s="1">
        <f>B159</f>
        <v/>
      </c>
      <c r="V20" s="1">
        <f>C159</f>
        <v/>
      </c>
      <c r="W20" s="1" t="n"/>
      <c r="X20" s="1">
        <f>I166</f>
        <v/>
      </c>
      <c r="Y20" s="1">
        <f>G159</f>
        <v/>
      </c>
      <c r="Z20" s="1">
        <f>H159</f>
        <v/>
      </c>
    </row>
    <row r="21" ht="20.25" customHeight="1">
      <c r="A21" s="20" t="n">
        <v>20</v>
      </c>
      <c r="B21" s="20" t="n">
        <v>1000000</v>
      </c>
      <c r="C21" s="20" t="n">
        <v>0</v>
      </c>
      <c r="D21" s="20" t="n">
        <v>50000</v>
      </c>
      <c r="E21" s="2" t="n"/>
      <c r="F21" s="21" t="n">
        <v>20</v>
      </c>
      <c r="G21" s="21" t="n">
        <v>1000000</v>
      </c>
      <c r="H21" s="21" t="n">
        <v>0</v>
      </c>
      <c r="I21" s="21" t="n">
        <v>50000</v>
      </c>
      <c r="J21" s="1" t="n"/>
      <c r="K21" s="1" t="n"/>
      <c r="L21" s="1" t="n"/>
      <c r="M21" s="1" t="n"/>
      <c r="N21" s="1" t="inlineStr">
        <is>
          <t>TOTAL</t>
        </is>
      </c>
      <c r="O21" s="1">
        <f>SUM(D8,D17,D26,D35,D44,D53,D62,D71,D85,D94,D103,D112,D121,D130,D139,D148,D157,D166,D175,D184,D193,D202,D211,D220,D229,D238,D247,D256,D265,D274,D284,D293,D302,D311,D320,D329,D338,D347,D356,D365,D374,D383,D392,D401,D410,D419,D428,D437,D446,D455,D464,D473,D482,D491,D500,D509,D518,D527,D536,D545,D554,D563,D572,D581)</f>
        <v/>
      </c>
      <c r="P21" s="1" t="n"/>
      <c r="Q21" s="1" t="inlineStr">
        <is>
          <t>TOTAL</t>
        </is>
      </c>
      <c r="R21" s="1">
        <f>SUM(I8,I17,I26,I35,I44,I53,I62,I71,I85,I94,I103,I112,I121,I130,I139,I148,I157,I166,I175,I184,I193,I202,I211,I220,I229,I238,I247,I256,I265,I274,I284,I293,I302,I311,I320,I329,I338,I347,I356,I365,I374,I383,I392,I401,I410,I419,I428,I437,I446,I455,I464,I473,I482,I491,I500,I509,I518,I527,I536,I545,I554,I563,I572)</f>
        <v/>
      </c>
      <c r="S21" s="1" t="n"/>
      <c r="T21" s="1">
        <f>D175</f>
        <v/>
      </c>
      <c r="U21" s="1">
        <f>B168</f>
        <v/>
      </c>
      <c r="V21" s="1">
        <f>C168</f>
        <v/>
      </c>
      <c r="W21" s="1" t="n"/>
      <c r="X21" s="1">
        <f>I175</f>
        <v/>
      </c>
      <c r="Y21" s="1">
        <f>G168</f>
        <v/>
      </c>
      <c r="Z21" s="1">
        <f>H168</f>
        <v/>
      </c>
    </row>
    <row r="22" ht="20.25" customHeight="1">
      <c r="A22" s="20" t="n">
        <v>9</v>
      </c>
      <c r="B22" s="20" t="n">
        <v>2000000</v>
      </c>
      <c r="C22" s="20" t="n">
        <v>7000</v>
      </c>
      <c r="D22" s="20" t="n">
        <v>93000</v>
      </c>
      <c r="E22" s="2" t="n"/>
      <c r="F22" s="21" t="inlineStr">
        <is>
          <t>20.1</t>
        </is>
      </c>
      <c r="G22" s="21" t="n">
        <v>1000000</v>
      </c>
      <c r="H22" s="21" t="n">
        <v>0</v>
      </c>
      <c r="I22" s="21" t="n">
        <v>50000</v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>
        <f>D184</f>
        <v/>
      </c>
      <c r="U22" s="1">
        <f>B177</f>
        <v/>
      </c>
      <c r="V22" s="1">
        <f>C177</f>
        <v/>
      </c>
      <c r="W22" s="1" t="n"/>
      <c r="X22" s="1">
        <f>I184</f>
        <v/>
      </c>
      <c r="Y22" s="1">
        <f>G177</f>
        <v/>
      </c>
      <c r="Z22" s="1">
        <f>H177</f>
        <v/>
      </c>
    </row>
    <row r="23" ht="20.25" customHeight="1">
      <c r="A23" s="20" t="n"/>
      <c r="B23" s="20" t="n"/>
      <c r="C23" s="20" t="n"/>
      <c r="D23" s="20" t="n"/>
      <c r="E23" s="2" t="n"/>
      <c r="F23" s="21" t="inlineStr">
        <is>
          <t>20.1</t>
        </is>
      </c>
      <c r="G23" s="21" t="n">
        <v>1000000</v>
      </c>
      <c r="H23" s="21" t="n">
        <v>0</v>
      </c>
      <c r="I23" s="21" t="n">
        <v>50000</v>
      </c>
      <c r="J23" s="1" t="n"/>
      <c r="K23" s="1" t="n"/>
      <c r="L23" s="1" t="n"/>
      <c r="M23" s="1" t="n"/>
      <c r="N23" s="1" t="n"/>
      <c r="O23" s="1">
        <f>SUM(O21,R21)</f>
        <v/>
      </c>
      <c r="P23" s="1" t="n"/>
      <c r="Q23" s="1" t="n"/>
      <c r="R23" s="1" t="n"/>
      <c r="S23" s="1" t="n"/>
      <c r="T23" s="1">
        <f>D193</f>
        <v/>
      </c>
      <c r="U23" s="1">
        <f>B186</f>
        <v/>
      </c>
      <c r="V23" s="1">
        <f>C186</f>
        <v/>
      </c>
      <c r="W23" s="1" t="n"/>
      <c r="X23" s="1">
        <f>I193</f>
        <v/>
      </c>
      <c r="Y23" s="1">
        <f>G186</f>
        <v/>
      </c>
      <c r="Z23" s="1">
        <f>H186</f>
        <v/>
      </c>
    </row>
    <row r="24" ht="20.25" customHeight="1">
      <c r="A24" s="20" t="n"/>
      <c r="B24" s="20" t="n"/>
      <c r="C24" s="20" t="n"/>
      <c r="D24" s="20" t="n"/>
      <c r="E24" s="2" t="n"/>
      <c r="F24" s="21" t="n"/>
      <c r="G24" s="21" t="n"/>
      <c r="H24" s="21" t="n"/>
      <c r="I24" s="21" t="n"/>
      <c r="J24" s="1" t="n"/>
      <c r="K24" s="1" t="n"/>
      <c r="L24" s="1" t="n"/>
      <c r="M24" s="1" t="n"/>
      <c r="N24" s="1" t="inlineStr">
        <is>
          <t>GRAND TOTAL</t>
        </is>
      </c>
      <c r="O24" s="1" t="n"/>
      <c r="P24" s="1" t="n"/>
      <c r="Q24" s="1" t="n"/>
      <c r="R24" s="1" t="n"/>
      <c r="S24" s="1" t="n"/>
      <c r="T24" s="1">
        <f>D202</f>
        <v/>
      </c>
      <c r="U24" s="1">
        <f>B195</f>
        <v/>
      </c>
      <c r="V24" s="1">
        <f>C195</f>
        <v/>
      </c>
      <c r="W24" s="1" t="n"/>
      <c r="X24" s="1">
        <f>I202</f>
        <v/>
      </c>
      <c r="Y24" s="1">
        <f>G195</f>
        <v/>
      </c>
      <c r="Z24" s="1">
        <f>H195</f>
        <v/>
      </c>
    </row>
    <row r="25" ht="20.25" customHeight="1">
      <c r="A25" s="20" t="n"/>
      <c r="B25" s="20" t="n"/>
      <c r="C25" s="20" t="n"/>
      <c r="D25" s="20" t="n"/>
      <c r="E25" s="2" t="n"/>
      <c r="F25" s="21" t="n"/>
      <c r="G25" s="21" t="n"/>
      <c r="H25" s="21" t="n"/>
      <c r="I25" s="2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>
        <f>D211</f>
        <v/>
      </c>
      <c r="U25" s="1">
        <f>B204</f>
        <v/>
      </c>
      <c r="V25" s="1">
        <f>C204</f>
        <v/>
      </c>
      <c r="W25" s="1" t="n"/>
      <c r="X25" s="1">
        <f>I211</f>
        <v/>
      </c>
      <c r="Y25" s="1">
        <f>G204</f>
        <v/>
      </c>
      <c r="Z25" s="1">
        <f>H204</f>
        <v/>
      </c>
    </row>
    <row r="26" ht="20.25" customHeight="1">
      <c r="A26" s="20" t="inlineStr">
        <is>
          <t>Total Payable</t>
        </is>
      </c>
      <c r="B26" s="20" t="n"/>
      <c r="C26" s="20" t="n"/>
      <c r="D26" s="20" t="n">
        <v>143000</v>
      </c>
      <c r="E26" s="2" t="n"/>
      <c r="F26" s="21" t="inlineStr">
        <is>
          <t>Total payable</t>
        </is>
      </c>
      <c r="I26" s="21" t="n">
        <v>150000</v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>
        <f>D220</f>
        <v/>
      </c>
      <c r="U26" s="1">
        <f>B213</f>
        <v/>
      </c>
      <c r="V26" s="1">
        <f>C213</f>
        <v/>
      </c>
      <c r="W26" s="1" t="n"/>
      <c r="X26" s="1">
        <f>I220</f>
        <v/>
      </c>
      <c r="Y26" s="1">
        <f>G213</f>
        <v/>
      </c>
      <c r="Z26" s="1">
        <f>H213</f>
        <v/>
      </c>
    </row>
    <row r="27" ht="16.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>
        <f>D229</f>
        <v/>
      </c>
      <c r="U27" s="1">
        <f>B222</f>
        <v/>
      </c>
      <c r="V27" s="1">
        <f>C222</f>
        <v/>
      </c>
      <c r="W27" s="1" t="n"/>
      <c r="X27" s="1">
        <f>I229</f>
        <v/>
      </c>
      <c r="Y27" s="1">
        <f>G222</f>
        <v/>
      </c>
      <c r="Z27" s="1">
        <f>H222</f>
        <v/>
      </c>
    </row>
    <row r="28" ht="20.25" customHeight="1">
      <c r="A28" s="20" t="inlineStr">
        <is>
          <t>Name</t>
        </is>
      </c>
      <c r="B28" s="20" t="inlineStr">
        <is>
          <t>KISHANJI(2)</t>
        </is>
      </c>
      <c r="C28" s="20" t="inlineStr">
        <is>
          <t>KAMAN</t>
        </is>
      </c>
      <c r="D28" s="20" t="inlineStr">
        <is>
          <t>2026-01-04</t>
        </is>
      </c>
      <c r="E28" s="2" t="n"/>
      <c r="F28" s="21" t="inlineStr">
        <is>
          <t>Name</t>
        </is>
      </c>
      <c r="G28" s="21" t="inlineStr">
        <is>
          <t>TARARAMJI</t>
        </is>
      </c>
      <c r="H28" s="21" t="inlineStr">
        <is>
          <t>PRGATI NG</t>
        </is>
      </c>
      <c r="I28" s="21" t="inlineStr">
        <is>
          <t>2026-01-04</t>
        </is>
      </c>
      <c r="J28" s="1" t="n"/>
      <c r="K28" s="1" t="n"/>
      <c r="L28" s="1" t="n"/>
      <c r="M28" s="1" t="n"/>
      <c r="O28" s="1" t="n"/>
      <c r="P28" s="1" t="n"/>
      <c r="Q28" s="1" t="n"/>
      <c r="R28" s="1" t="n"/>
      <c r="S28" s="1" t="n"/>
      <c r="T28" s="1">
        <f>D238</f>
        <v/>
      </c>
      <c r="U28" s="1">
        <f>B231</f>
        <v/>
      </c>
      <c r="V28" s="1">
        <f>C231</f>
        <v/>
      </c>
      <c r="W28" s="1" t="n"/>
      <c r="X28" s="1">
        <f>I238</f>
        <v/>
      </c>
      <c r="Y28" s="1">
        <f>G231</f>
        <v/>
      </c>
      <c r="Z28" s="1">
        <f>H231</f>
        <v/>
      </c>
    </row>
    <row r="29" ht="20.25" customHeight="1">
      <c r="A29" s="20" t="inlineStr">
        <is>
          <t>Month</t>
        </is>
      </c>
      <c r="B29" s="20" t="inlineStr">
        <is>
          <t>Plan</t>
        </is>
      </c>
      <c r="C29" s="20" t="inlineStr">
        <is>
          <t>Commission</t>
        </is>
      </c>
      <c r="D29" s="20" t="inlineStr">
        <is>
          <t>Amount</t>
        </is>
      </c>
      <c r="E29" s="2" t="n"/>
      <c r="F29" s="21" t="inlineStr">
        <is>
          <t>Month</t>
        </is>
      </c>
      <c r="G29" s="21" t="inlineStr">
        <is>
          <t>Plan</t>
        </is>
      </c>
      <c r="H29" s="21" t="inlineStr">
        <is>
          <t>Commission</t>
        </is>
      </c>
      <c r="I29" s="21" t="inlineStr">
        <is>
          <t>Amount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>
        <f>D247</f>
        <v/>
      </c>
      <c r="U29" s="1">
        <f>B240</f>
        <v/>
      </c>
      <c r="V29" s="1">
        <f>C240</f>
        <v/>
      </c>
      <c r="W29" s="1" t="n"/>
      <c r="X29" s="1">
        <f>I247</f>
        <v/>
      </c>
      <c r="Y29" s="1">
        <f>G240</f>
        <v/>
      </c>
      <c r="Z29" s="1">
        <f>H240</f>
        <v/>
      </c>
    </row>
    <row r="30" ht="20.25" customHeight="1">
      <c r="A30" s="20" t="inlineStr">
        <is>
          <t>20.1</t>
        </is>
      </c>
      <c r="B30" s="20" t="n">
        <v>1000000</v>
      </c>
      <c r="C30" s="20" t="n">
        <v>0</v>
      </c>
      <c r="D30" s="20" t="n">
        <v>50000</v>
      </c>
      <c r="E30" s="2" t="n"/>
      <c r="F30" s="21" t="n">
        <v>9</v>
      </c>
      <c r="G30" s="21" t="n">
        <v>500000</v>
      </c>
      <c r="H30" s="21" t="n">
        <v>2000</v>
      </c>
      <c r="I30" s="21" t="n">
        <v>23000</v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>
        <f>D256</f>
        <v/>
      </c>
      <c r="U30" s="1">
        <f>B249</f>
        <v/>
      </c>
      <c r="V30" s="1">
        <f>C249</f>
        <v/>
      </c>
      <c r="W30" s="1" t="n"/>
      <c r="X30" s="1">
        <f>I256</f>
        <v/>
      </c>
      <c r="Y30" s="1">
        <f>G249</f>
        <v/>
      </c>
      <c r="Z30" s="1">
        <f>H249</f>
        <v/>
      </c>
    </row>
    <row r="31" ht="20.25" customHeight="1">
      <c r="A31" s="20" t="n">
        <v>17</v>
      </c>
      <c r="B31" s="20" t="n">
        <v>500000</v>
      </c>
      <c r="C31" s="20" t="n">
        <v>400</v>
      </c>
      <c r="D31" s="20" t="n">
        <v>24600</v>
      </c>
      <c r="E31" s="2" t="n"/>
      <c r="F31" s="21" t="n"/>
      <c r="G31" s="21" t="n"/>
      <c r="H31" s="21" t="n"/>
      <c r="I31" s="2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>
        <f>D265</f>
        <v/>
      </c>
      <c r="U31" s="1">
        <f>B258</f>
        <v/>
      </c>
      <c r="V31" s="1">
        <f>C258</f>
        <v/>
      </c>
      <c r="W31" s="1" t="n"/>
      <c r="X31" s="1">
        <f>I265</f>
        <v/>
      </c>
      <c r="Y31" s="1">
        <f>G258</f>
        <v/>
      </c>
      <c r="Z31" s="1">
        <f>H258</f>
        <v/>
      </c>
    </row>
    <row r="32" ht="20.25" customHeight="1">
      <c r="A32" s="20" t="n">
        <v>17</v>
      </c>
      <c r="B32" s="20" t="n">
        <v>500000</v>
      </c>
      <c r="C32" s="20" t="n">
        <v>400</v>
      </c>
      <c r="D32" s="20" t="n">
        <v>24600</v>
      </c>
      <c r="E32" s="2" t="n"/>
      <c r="F32" s="21" t="n"/>
      <c r="G32" s="21" t="n"/>
      <c r="H32" s="21" t="n"/>
      <c r="I32" s="2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>
        <f>D274</f>
        <v/>
      </c>
      <c r="U32" s="1">
        <f>B267</f>
        <v/>
      </c>
      <c r="V32" s="1">
        <f>C267</f>
        <v/>
      </c>
      <c r="W32" s="1" t="n"/>
      <c r="X32" s="1">
        <f>I274</f>
        <v/>
      </c>
      <c r="Y32" s="1">
        <f>G267</f>
        <v/>
      </c>
      <c r="Z32" s="1">
        <f>H267</f>
        <v/>
      </c>
    </row>
    <row r="33" ht="20.25" customHeight="1">
      <c r="A33" s="20" t="inlineStr">
        <is>
          <t>20.1</t>
        </is>
      </c>
      <c r="B33" s="20" t="n">
        <v>1000000</v>
      </c>
      <c r="C33" s="20" t="n">
        <v>0</v>
      </c>
      <c r="D33" s="20" t="n">
        <v>50000</v>
      </c>
      <c r="E33" s="2" t="n"/>
      <c r="F33" s="21" t="n"/>
      <c r="G33" s="21" t="n"/>
      <c r="H33" s="21" t="n"/>
      <c r="I33" s="2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>
        <f>D284</f>
        <v/>
      </c>
      <c r="U33" s="1">
        <f>B276</f>
        <v/>
      </c>
      <c r="V33" s="1">
        <f>C276</f>
        <v/>
      </c>
      <c r="W33" s="1" t="n"/>
      <c r="X33" s="1">
        <f>I284</f>
        <v/>
      </c>
      <c r="Y33" s="1">
        <f>G276</f>
        <v/>
      </c>
      <c r="Z33" s="1">
        <f>H276</f>
        <v/>
      </c>
    </row>
    <row r="34" ht="20.25" customHeight="1">
      <c r="A34" s="20" t="n"/>
      <c r="B34" s="20" t="n"/>
      <c r="C34" s="20" t="n"/>
      <c r="D34" s="20" t="n"/>
      <c r="E34" s="2" t="n"/>
      <c r="F34" s="21" t="n"/>
      <c r="G34" s="21" t="n"/>
      <c r="H34" s="21" t="n"/>
      <c r="I34" s="2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>
        <f>D293</f>
        <v/>
      </c>
      <c r="U34" s="1">
        <f>B286</f>
        <v/>
      </c>
      <c r="V34" s="1">
        <f>C286</f>
        <v/>
      </c>
      <c r="W34" s="1" t="n"/>
      <c r="X34" s="1">
        <f>I293</f>
        <v/>
      </c>
      <c r="Y34" s="1">
        <f>G286</f>
        <v/>
      </c>
      <c r="Z34" s="1">
        <f>H286</f>
        <v/>
      </c>
    </row>
    <row r="35" ht="20.25" customHeight="1">
      <c r="A35" s="20" t="inlineStr">
        <is>
          <t>Total Payable</t>
        </is>
      </c>
      <c r="B35" s="20" t="n"/>
      <c r="C35" s="20" t="n"/>
      <c r="D35" s="20" t="n">
        <v>149200</v>
      </c>
      <c r="E35" s="2" t="n"/>
      <c r="F35" s="21" t="inlineStr">
        <is>
          <t>Total Payable</t>
        </is>
      </c>
      <c r="I35" s="21" t="n">
        <v>23000</v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>
        <f>D302</f>
        <v/>
      </c>
      <c r="U35" s="1">
        <f>B295</f>
        <v/>
      </c>
      <c r="V35" s="1">
        <f>C295</f>
        <v/>
      </c>
      <c r="W35" s="1" t="n"/>
      <c r="X35" s="1">
        <f>I302</f>
        <v/>
      </c>
      <c r="Y35" s="1">
        <f>G295</f>
        <v/>
      </c>
      <c r="Z35" s="1">
        <f>H295</f>
        <v/>
      </c>
    </row>
    <row r="36" ht="16.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>
        <f>D311</f>
        <v/>
      </c>
      <c r="U36" s="1">
        <f>B304</f>
        <v/>
      </c>
      <c r="V36" s="1">
        <f>C304</f>
        <v/>
      </c>
      <c r="W36" s="1" t="n"/>
      <c r="X36" s="1">
        <f>I311</f>
        <v/>
      </c>
      <c r="Y36" s="1">
        <f>G304</f>
        <v/>
      </c>
      <c r="Z36" s="1">
        <f>H304</f>
        <v/>
      </c>
    </row>
    <row r="37" ht="20.25" customHeight="1">
      <c r="A37" s="21" t="inlineStr">
        <is>
          <t>Name</t>
        </is>
      </c>
      <c r="B37" s="21" t="inlineStr">
        <is>
          <t>BHONARAMJI</t>
        </is>
      </c>
      <c r="C37" s="21" t="inlineStr">
        <is>
          <t>G.MAISAMA</t>
        </is>
      </c>
      <c r="D37" s="21" t="inlineStr">
        <is>
          <t>2026-01-04</t>
        </is>
      </c>
      <c r="E37" s="2" t="n"/>
      <c r="F37" s="21" t="inlineStr">
        <is>
          <t>Name</t>
        </is>
      </c>
      <c r="G37" s="21" t="inlineStr">
        <is>
          <t>SESHARAMJI</t>
        </is>
      </c>
      <c r="H37" s="21" t="inlineStr">
        <is>
          <t>MEDCHAL</t>
        </is>
      </c>
      <c r="I37" s="21" t="inlineStr">
        <is>
          <t>2026-01-04</t>
        </is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>
        <f>D320</f>
        <v/>
      </c>
      <c r="U37" s="1">
        <f>B313</f>
        <v/>
      </c>
      <c r="V37" s="1">
        <f>C313</f>
        <v/>
      </c>
      <c r="W37" s="1" t="n"/>
      <c r="X37" s="1">
        <f>I320</f>
        <v/>
      </c>
      <c r="Y37" s="1">
        <f>G313</f>
        <v/>
      </c>
      <c r="Z37" s="1">
        <f>H313</f>
        <v/>
      </c>
    </row>
    <row r="38" ht="20.25" customHeight="1">
      <c r="A38" s="21" t="inlineStr">
        <is>
          <t>Month</t>
        </is>
      </c>
      <c r="B38" s="21" t="inlineStr">
        <is>
          <t>Plan</t>
        </is>
      </c>
      <c r="C38" s="21" t="inlineStr">
        <is>
          <t>Commission</t>
        </is>
      </c>
      <c r="D38" s="21" t="inlineStr">
        <is>
          <t>Amount</t>
        </is>
      </c>
      <c r="E38" s="2" t="n"/>
      <c r="F38" s="21" t="inlineStr">
        <is>
          <t>Month</t>
        </is>
      </c>
      <c r="G38" s="21" t="inlineStr">
        <is>
          <t>Plan</t>
        </is>
      </c>
      <c r="H38" s="21" t="inlineStr">
        <is>
          <t>Commission</t>
        </is>
      </c>
      <c r="I38" s="21" t="inlineStr">
        <is>
          <t>Amount</t>
        </is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>
        <f>D329</f>
        <v/>
      </c>
      <c r="U38" s="1">
        <f>B322</f>
        <v/>
      </c>
      <c r="V38" s="1">
        <f>C322</f>
        <v/>
      </c>
      <c r="W38" s="1" t="n"/>
      <c r="X38" s="1">
        <f>I329</f>
        <v/>
      </c>
      <c r="Y38" s="1">
        <f>G322</f>
        <v/>
      </c>
      <c r="Z38" s="1">
        <f>H322</f>
        <v/>
      </c>
    </row>
    <row r="39" ht="20.25" customHeight="1">
      <c r="A39" s="21" t="n">
        <v>14</v>
      </c>
      <c r="B39" s="21" t="n">
        <v>250000</v>
      </c>
      <c r="C39" s="21" t="n">
        <v>450</v>
      </c>
      <c r="D39" s="21" t="n">
        <v>12050</v>
      </c>
      <c r="E39" s="2" t="n"/>
      <c r="F39" s="21" t="inlineStr">
        <is>
          <t>20.1</t>
        </is>
      </c>
      <c r="G39" s="21" t="n">
        <v>1000000</v>
      </c>
      <c r="H39" s="21" t="n">
        <v>0</v>
      </c>
      <c r="I39" s="21" t="n">
        <v>50000</v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>
        <f>D338</f>
        <v/>
      </c>
      <c r="U39" s="1">
        <f>B331</f>
        <v/>
      </c>
      <c r="V39" s="1">
        <f>C331</f>
        <v/>
      </c>
      <c r="W39" s="1" t="n"/>
      <c r="X39" s="1">
        <f>I338</f>
        <v/>
      </c>
      <c r="Y39" s="1">
        <f>G331</f>
        <v/>
      </c>
      <c r="Z39" s="1">
        <f>H331</f>
        <v/>
      </c>
    </row>
    <row r="40" ht="20.25" customHeight="1">
      <c r="A40" s="21" t="n">
        <v>20</v>
      </c>
      <c r="B40" s="21" t="n">
        <v>250000</v>
      </c>
      <c r="C40" s="21" t="n">
        <v>0</v>
      </c>
      <c r="D40" s="21" t="n">
        <v>12500</v>
      </c>
      <c r="E40" s="2" t="n"/>
      <c r="F40" s="21" t="n">
        <v>9</v>
      </c>
      <c r="G40" s="21" t="n">
        <v>2000000</v>
      </c>
      <c r="H40" s="21" t="n">
        <v>7000</v>
      </c>
      <c r="I40" s="21" t="n">
        <v>93000</v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>
        <f>D347</f>
        <v/>
      </c>
      <c r="U40" s="1">
        <f>B340</f>
        <v/>
      </c>
      <c r="V40" s="1">
        <f>C340</f>
        <v/>
      </c>
      <c r="W40" s="1" t="n"/>
      <c r="X40" s="1">
        <f>I347</f>
        <v/>
      </c>
      <c r="Y40" s="1">
        <f>G340</f>
        <v/>
      </c>
      <c r="Z40" s="1">
        <f>H340</f>
        <v/>
      </c>
    </row>
    <row r="41" ht="20.25" customHeight="1">
      <c r="A41" s="21" t="n"/>
      <c r="B41" s="21" t="n"/>
      <c r="C41" s="21" t="n"/>
      <c r="D41" s="21" t="n"/>
      <c r="E41" s="2" t="n"/>
      <c r="F41" s="21" t="n"/>
      <c r="G41" s="21" t="n"/>
      <c r="H41" s="21" t="n"/>
      <c r="I41" s="2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>
        <f>D356</f>
        <v/>
      </c>
      <c r="U41" s="1">
        <f>B349</f>
        <v/>
      </c>
      <c r="V41" s="1">
        <f>C349</f>
        <v/>
      </c>
      <c r="W41" s="1" t="n"/>
      <c r="X41" s="1">
        <f>I356</f>
        <v/>
      </c>
      <c r="Y41" s="1">
        <f>G349</f>
        <v/>
      </c>
      <c r="Z41" s="1">
        <f>H349</f>
        <v/>
      </c>
    </row>
    <row r="42" ht="20.25" customHeight="1">
      <c r="A42" s="21" t="n"/>
      <c r="B42" s="21" t="n"/>
      <c r="C42" s="21" t="n"/>
      <c r="D42" s="21" t="n"/>
      <c r="E42" s="2" t="n"/>
      <c r="F42" s="21" t="n"/>
      <c r="G42" s="21" t="n"/>
      <c r="H42" s="21" t="n"/>
      <c r="I42" s="2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>
        <f>D365</f>
        <v/>
      </c>
      <c r="U42" s="1">
        <f>B358</f>
        <v/>
      </c>
      <c r="V42" s="1">
        <f>C358</f>
        <v/>
      </c>
      <c r="W42" s="1" t="n"/>
      <c r="X42" s="1">
        <f>I365</f>
        <v/>
      </c>
      <c r="Y42" s="1">
        <f>G358</f>
        <v/>
      </c>
      <c r="Z42" s="1">
        <f>H358</f>
        <v/>
      </c>
    </row>
    <row r="43" ht="20.25" customHeight="1">
      <c r="A43" s="21" t="n"/>
      <c r="B43" s="21" t="n"/>
      <c r="C43" s="21" t="n"/>
      <c r="D43" s="21" t="n"/>
      <c r="E43" s="2" t="n"/>
      <c r="F43" s="21" t="n"/>
      <c r="G43" s="21" t="n"/>
      <c r="H43" s="21" t="n"/>
      <c r="I43" s="2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>
        <f>D374</f>
        <v/>
      </c>
      <c r="U43" s="1">
        <f>B367</f>
        <v/>
      </c>
      <c r="V43" s="1">
        <f>C367</f>
        <v/>
      </c>
      <c r="W43" s="1" t="n"/>
      <c r="X43" s="1">
        <f>I374</f>
        <v/>
      </c>
      <c r="Y43" s="1">
        <f>G367</f>
        <v/>
      </c>
      <c r="Z43" s="1">
        <f>H367</f>
        <v/>
      </c>
    </row>
    <row r="44" ht="20.25" customHeight="1">
      <c r="A44" s="21" t="inlineStr">
        <is>
          <t>Total Payable</t>
        </is>
      </c>
      <c r="D44" s="21" t="n">
        <v>24550</v>
      </c>
      <c r="E44" s="2" t="n"/>
      <c r="F44" s="21" t="inlineStr">
        <is>
          <t>Total Payable</t>
        </is>
      </c>
      <c r="I44" s="21" t="n">
        <v>143000</v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>
        <f>D383</f>
        <v/>
      </c>
      <c r="U44" s="1">
        <f>B376</f>
        <v/>
      </c>
      <c r="V44" s="1">
        <f>C376</f>
        <v/>
      </c>
      <c r="W44" s="1" t="n"/>
      <c r="X44" s="1">
        <f>I383</f>
        <v/>
      </c>
      <c r="Y44" s="1">
        <f>G376</f>
        <v/>
      </c>
      <c r="Z44" s="1">
        <f>H376</f>
        <v/>
      </c>
    </row>
    <row r="45" ht="16.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>
        <f>D392</f>
        <v/>
      </c>
      <c r="U45" s="1">
        <f>B385</f>
        <v/>
      </c>
      <c r="V45" s="1">
        <f>C385</f>
        <v/>
      </c>
      <c r="W45" s="1" t="n"/>
      <c r="X45" s="1">
        <f>I392</f>
        <v/>
      </c>
      <c r="Y45" s="1">
        <f>G385</f>
        <v/>
      </c>
      <c r="Z45" s="1">
        <f>H385</f>
        <v/>
      </c>
    </row>
    <row r="46" ht="20.25" customHeight="1">
      <c r="A46" s="20" t="inlineStr">
        <is>
          <t>Name</t>
        </is>
      </c>
      <c r="B46" s="20" t="inlineStr">
        <is>
          <t>RAMESHJI</t>
        </is>
      </c>
      <c r="C46" s="20" t="inlineStr">
        <is>
          <t>HITECH</t>
        </is>
      </c>
      <c r="D46" s="20" t="inlineStr">
        <is>
          <t>2026-01-04</t>
        </is>
      </c>
      <c r="E46" s="2" t="n"/>
      <c r="F46" s="21" t="inlineStr">
        <is>
          <t>Name</t>
        </is>
      </c>
      <c r="G46" s="21" t="inlineStr">
        <is>
          <t>CHANDUJI</t>
        </is>
      </c>
      <c r="H46" s="21" t="inlineStr">
        <is>
          <t>KAMMAN</t>
        </is>
      </c>
      <c r="I46" s="21" t="inlineStr">
        <is>
          <t>2026-01-04</t>
        </is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>
        <f>D401</f>
        <v/>
      </c>
      <c r="U46" s="1">
        <f>B394</f>
        <v/>
      </c>
      <c r="V46" s="1">
        <f>C394</f>
        <v/>
      </c>
      <c r="W46" s="1" t="n"/>
      <c r="X46" s="1">
        <f>I401</f>
        <v/>
      </c>
      <c r="Y46" s="1">
        <f>G394</f>
        <v/>
      </c>
      <c r="Z46" s="1">
        <f>H394</f>
        <v/>
      </c>
    </row>
    <row r="47" ht="20.25" customHeight="1">
      <c r="A47" s="20" t="inlineStr">
        <is>
          <t>Month</t>
        </is>
      </c>
      <c r="B47" s="20" t="inlineStr">
        <is>
          <t>Plan</t>
        </is>
      </c>
      <c r="C47" s="20" t="inlineStr">
        <is>
          <t>Commission</t>
        </is>
      </c>
      <c r="D47" s="20" t="inlineStr">
        <is>
          <t>Amount</t>
        </is>
      </c>
      <c r="E47" s="2" t="n"/>
      <c r="F47" s="21" t="inlineStr">
        <is>
          <t>Month</t>
        </is>
      </c>
      <c r="G47" s="21" t="inlineStr">
        <is>
          <t>Plan</t>
        </is>
      </c>
      <c r="H47" s="21" t="inlineStr">
        <is>
          <t>Commission</t>
        </is>
      </c>
      <c r="I47" s="21" t="inlineStr">
        <is>
          <t>Amount</t>
        </is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>
        <f>D410</f>
        <v/>
      </c>
      <c r="U47" s="1">
        <f>B403</f>
        <v/>
      </c>
      <c r="V47" s="1">
        <f>C403</f>
        <v/>
      </c>
      <c r="W47" s="1" t="n"/>
      <c r="X47" s="1">
        <f>I410</f>
        <v/>
      </c>
      <c r="Y47" s="1">
        <f>G403</f>
        <v/>
      </c>
      <c r="Z47" s="1">
        <f>H403</f>
        <v/>
      </c>
    </row>
    <row r="48" ht="20.25" customHeight="1">
      <c r="A48" s="20" t="inlineStr">
        <is>
          <t>20.1</t>
        </is>
      </c>
      <c r="B48" s="20" t="n">
        <v>500000</v>
      </c>
      <c r="C48" s="20" t="n">
        <v>0</v>
      </c>
      <c r="D48" s="20" t="n">
        <v>25000</v>
      </c>
      <c r="E48" s="2" t="n"/>
      <c r="F48" s="21" t="n">
        <v>17</v>
      </c>
      <c r="G48" s="21" t="n">
        <v>500000</v>
      </c>
      <c r="H48" s="21" t="n">
        <v>400</v>
      </c>
      <c r="I48" s="21" t="n">
        <v>24600</v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>
        <f>D419</f>
        <v/>
      </c>
      <c r="U48" s="1">
        <f>B412</f>
        <v/>
      </c>
      <c r="V48" s="1">
        <f>C412</f>
        <v/>
      </c>
      <c r="W48" s="1" t="n"/>
      <c r="X48" s="1">
        <f>I419</f>
        <v/>
      </c>
      <c r="Y48" s="1">
        <f>G412</f>
        <v/>
      </c>
      <c r="Z48" s="1">
        <f>H412</f>
        <v/>
      </c>
    </row>
    <row r="49" ht="20.25" customHeight="1">
      <c r="A49" s="20" t="n"/>
      <c r="B49" s="20" t="n"/>
      <c r="C49" s="20" t="n"/>
      <c r="D49" s="20" t="n"/>
      <c r="E49" s="2" t="n"/>
      <c r="F49" s="21" t="n">
        <v>4</v>
      </c>
      <c r="G49" s="21" t="n">
        <v>500000</v>
      </c>
      <c r="H49" s="21" t="n">
        <v>3250</v>
      </c>
      <c r="I49" s="21" t="n">
        <v>21750</v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>
        <f>D428</f>
        <v/>
      </c>
      <c r="U49" s="1">
        <f>B421</f>
        <v/>
      </c>
      <c r="V49" s="1">
        <f>C421</f>
        <v/>
      </c>
      <c r="W49" s="1" t="n"/>
      <c r="X49" s="1">
        <f>I428</f>
        <v/>
      </c>
      <c r="Y49" s="1">
        <f>G421</f>
        <v/>
      </c>
      <c r="Z49" s="1">
        <f>H421</f>
        <v/>
      </c>
    </row>
    <row r="50" ht="20.25" customHeight="1">
      <c r="A50" s="20" t="n"/>
      <c r="B50" s="20" t="n"/>
      <c r="C50" s="20" t="n"/>
      <c r="D50" s="20" t="n"/>
      <c r="E50" s="2" t="n"/>
      <c r="F50" s="21" t="n"/>
      <c r="G50" s="21" t="n"/>
      <c r="H50" s="21" t="n"/>
      <c r="I50" s="2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>
        <f>D437</f>
        <v/>
      </c>
      <c r="U50" s="1">
        <f>B430</f>
        <v/>
      </c>
      <c r="V50" s="1">
        <f>C430</f>
        <v/>
      </c>
      <c r="W50" s="1" t="n"/>
      <c r="X50" s="1">
        <f>I437</f>
        <v/>
      </c>
      <c r="Y50" s="1">
        <f>G430</f>
        <v/>
      </c>
      <c r="Z50" s="1">
        <f>H430</f>
        <v/>
      </c>
    </row>
    <row r="51" ht="20.25" customHeight="1">
      <c r="A51" s="20" t="n"/>
      <c r="B51" s="20" t="n"/>
      <c r="C51" s="20" t="n"/>
      <c r="D51" s="20" t="n"/>
      <c r="E51" s="2" t="n"/>
      <c r="F51" s="21" t="n"/>
      <c r="G51" s="21" t="n"/>
      <c r="H51" s="21" t="n"/>
      <c r="I51" s="2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>
        <f>D446</f>
        <v/>
      </c>
      <c r="U51" s="1">
        <f>B439</f>
        <v/>
      </c>
      <c r="V51" s="1">
        <f>C439</f>
        <v/>
      </c>
      <c r="W51" s="1" t="n"/>
      <c r="X51" s="1">
        <f>I446</f>
        <v/>
      </c>
      <c r="Y51" s="1">
        <f>G439</f>
        <v/>
      </c>
      <c r="Z51" s="1">
        <f>H439</f>
        <v/>
      </c>
    </row>
    <row r="52" ht="20.25" customHeight="1">
      <c r="A52" s="20" t="n"/>
      <c r="B52" s="20" t="n"/>
      <c r="C52" s="20" t="n"/>
      <c r="D52" s="20" t="n"/>
      <c r="E52" s="2" t="n"/>
      <c r="F52" s="21" t="n"/>
      <c r="G52" s="21" t="n"/>
      <c r="H52" s="21" t="n"/>
      <c r="I52" s="2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>
        <f>D455</f>
        <v/>
      </c>
      <c r="U52" s="1">
        <f>B448</f>
        <v/>
      </c>
      <c r="V52" s="1">
        <f>C448</f>
        <v/>
      </c>
      <c r="W52" s="1" t="n"/>
      <c r="X52" s="1">
        <f>I455</f>
        <v/>
      </c>
      <c r="Y52" s="1">
        <f>G448</f>
        <v/>
      </c>
      <c r="Z52" s="1">
        <f>H448</f>
        <v/>
      </c>
    </row>
    <row r="53" ht="20.25" customHeight="1">
      <c r="A53" s="20" t="inlineStr">
        <is>
          <t>Total Payable</t>
        </is>
      </c>
      <c r="B53" s="20" t="n"/>
      <c r="C53" s="20" t="n"/>
      <c r="D53" s="20" t="n">
        <v>25000</v>
      </c>
      <c r="E53" s="2" t="n"/>
      <c r="F53" s="21" t="inlineStr">
        <is>
          <t>Total Payable</t>
        </is>
      </c>
      <c r="I53" s="21" t="n">
        <v>46350</v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>
        <f>D464</f>
        <v/>
      </c>
      <c r="U53" s="1">
        <f>B457</f>
        <v/>
      </c>
      <c r="V53" s="1">
        <f>C457</f>
        <v/>
      </c>
      <c r="W53" s="1" t="n"/>
      <c r="X53" s="1">
        <f>I464</f>
        <v/>
      </c>
      <c r="Y53" s="1">
        <f>G457</f>
        <v/>
      </c>
      <c r="Z53" s="1">
        <f>H457</f>
        <v/>
      </c>
    </row>
    <row r="54" ht="16.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>
        <f>D473</f>
        <v/>
      </c>
      <c r="U54" s="1">
        <f>B466</f>
        <v/>
      </c>
      <c r="V54" s="1">
        <f>C466</f>
        <v/>
      </c>
      <c r="W54" s="1" t="n"/>
      <c r="X54" s="1">
        <f>I473</f>
        <v/>
      </c>
      <c r="Y54" s="1">
        <f>G466</f>
        <v/>
      </c>
      <c r="Z54" s="1">
        <f>H466</f>
        <v/>
      </c>
    </row>
    <row r="55" ht="20.25" customHeight="1">
      <c r="A55" s="21" t="inlineStr">
        <is>
          <t>Name</t>
        </is>
      </c>
      <c r="B55" s="21" t="inlineStr">
        <is>
          <t>SOHANJI</t>
        </is>
      </c>
      <c r="C55" s="21" t="inlineStr">
        <is>
          <t>KOTLAPUR</t>
        </is>
      </c>
      <c r="D55" s="21" t="inlineStr">
        <is>
          <t>2026-01-04</t>
        </is>
      </c>
      <c r="E55" s="2" t="n"/>
      <c r="F55" s="21" t="inlineStr">
        <is>
          <t>Name</t>
        </is>
      </c>
      <c r="G55" s="21" t="inlineStr">
        <is>
          <t>DEEPAKJI</t>
        </is>
      </c>
      <c r="H55" s="21" t="inlineStr">
        <is>
          <t>SUCHITRA</t>
        </is>
      </c>
      <c r="I55" s="21" t="inlineStr">
        <is>
          <t>2026-01-04</t>
        </is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>
        <f>D482</f>
        <v/>
      </c>
      <c r="U55" s="1">
        <f>B475</f>
        <v/>
      </c>
      <c r="V55" s="1">
        <f>C475</f>
        <v/>
      </c>
      <c r="W55" s="1" t="n"/>
      <c r="X55" s="1">
        <f>I482</f>
        <v/>
      </c>
      <c r="Y55" s="1">
        <f>G475</f>
        <v/>
      </c>
      <c r="Z55" s="1">
        <f>H475</f>
        <v/>
      </c>
    </row>
    <row r="56" ht="20.25" customHeight="1">
      <c r="A56" s="21" t="inlineStr">
        <is>
          <t>Month</t>
        </is>
      </c>
      <c r="B56" s="21" t="inlineStr">
        <is>
          <t>Plan</t>
        </is>
      </c>
      <c r="C56" s="21" t="inlineStr">
        <is>
          <t>Commission</t>
        </is>
      </c>
      <c r="D56" s="21" t="inlineStr">
        <is>
          <t>Amount</t>
        </is>
      </c>
      <c r="E56" s="2" t="n"/>
      <c r="F56" s="21" t="inlineStr">
        <is>
          <t>Month</t>
        </is>
      </c>
      <c r="G56" s="21" t="inlineStr">
        <is>
          <t>Plan</t>
        </is>
      </c>
      <c r="H56" s="21" t="inlineStr">
        <is>
          <t>Commission</t>
        </is>
      </c>
      <c r="I56" s="21" t="inlineStr">
        <is>
          <t>Amount</t>
        </is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>
        <f>D491</f>
        <v/>
      </c>
      <c r="U56" s="1" t="inlineStr">
        <is>
          <t>VENKATREDDY</t>
        </is>
      </c>
      <c r="V56" s="1" t="inlineStr">
        <is>
          <t>SURARAM</t>
        </is>
      </c>
      <c r="W56" s="1" t="n"/>
      <c r="X56" s="1">
        <f>I491</f>
        <v/>
      </c>
      <c r="Y56" s="1" t="inlineStr">
        <is>
          <t>PEMARAMJI</t>
        </is>
      </c>
      <c r="Z56" s="1" t="inlineStr">
        <is>
          <t>SURARAM</t>
        </is>
      </c>
    </row>
    <row r="57" ht="20.25" customHeight="1">
      <c r="A57" s="21" t="inlineStr">
        <is>
          <t>20.1</t>
        </is>
      </c>
      <c r="B57" s="21" t="n">
        <v>1000000</v>
      </c>
      <c r="C57" s="21" t="n">
        <v>0</v>
      </c>
      <c r="D57" s="21" t="n">
        <v>50000</v>
      </c>
      <c r="E57" s="2" t="n"/>
      <c r="F57" s="21" t="inlineStr">
        <is>
          <t>4.1</t>
        </is>
      </c>
      <c r="G57" s="21" t="n">
        <v>1000000</v>
      </c>
      <c r="H57" s="21" t="n">
        <v>7700</v>
      </c>
      <c r="I57" s="21" t="n">
        <v>42300</v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>
        <f>D500</f>
        <v/>
      </c>
      <c r="U57" s="1">
        <f>B493</f>
        <v/>
      </c>
      <c r="V57" s="1">
        <f>C493</f>
        <v/>
      </c>
      <c r="W57" s="1" t="n"/>
      <c r="X57" s="1">
        <f>I500</f>
        <v/>
      </c>
      <c r="Y57" s="1">
        <f>G493</f>
        <v/>
      </c>
      <c r="Z57" s="1">
        <f>H493</f>
        <v/>
      </c>
    </row>
    <row r="58" ht="20.25" customHeight="1">
      <c r="A58" s="21" t="n">
        <v>4</v>
      </c>
      <c r="B58" s="21" t="n">
        <v>1000000</v>
      </c>
      <c r="C58" s="21" t="n">
        <v>7750</v>
      </c>
      <c r="D58" s="21" t="n">
        <v>42250</v>
      </c>
      <c r="E58" s="2" t="n"/>
      <c r="F58" s="21" t="n">
        <v>9</v>
      </c>
      <c r="G58" s="21" t="n">
        <v>500000</v>
      </c>
      <c r="H58" s="21" t="n">
        <v>2000</v>
      </c>
      <c r="I58" s="21" t="n">
        <v>23000</v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>
        <f>D509</f>
        <v/>
      </c>
      <c r="U58" s="1">
        <f>B502</f>
        <v/>
      </c>
      <c r="V58" s="1">
        <f>C502</f>
        <v/>
      </c>
      <c r="W58" s="1" t="n"/>
      <c r="X58" s="1">
        <f>I509</f>
        <v/>
      </c>
      <c r="Y58" s="1">
        <f>G502</f>
        <v/>
      </c>
      <c r="Z58" s="1">
        <f>H502</f>
        <v/>
      </c>
    </row>
    <row r="59" ht="20.25" customHeight="1">
      <c r="A59" s="21" t="n"/>
      <c r="B59" s="21" t="n"/>
      <c r="C59" s="21" t="n"/>
      <c r="D59" s="21" t="n"/>
      <c r="E59" s="2" t="n"/>
      <c r="F59" s="21" t="n"/>
      <c r="G59" s="21" t="n"/>
      <c r="H59" s="21" t="n"/>
      <c r="I59" s="2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>
        <f>D518</f>
        <v/>
      </c>
      <c r="U59" s="1">
        <f>B511</f>
        <v/>
      </c>
      <c r="V59" s="1">
        <f>C511</f>
        <v/>
      </c>
      <c r="W59" s="1" t="n"/>
      <c r="X59" s="1">
        <f>I518</f>
        <v/>
      </c>
      <c r="Y59" s="1">
        <f>G511</f>
        <v/>
      </c>
      <c r="Z59" s="1">
        <f>H511</f>
        <v/>
      </c>
    </row>
    <row r="60" ht="20.25" customHeight="1">
      <c r="A60" s="21" t="n"/>
      <c r="B60" s="21" t="n"/>
      <c r="C60" s="21" t="n"/>
      <c r="D60" s="21" t="n"/>
      <c r="E60" s="2" t="n"/>
      <c r="F60" s="21" t="n"/>
      <c r="G60" s="21" t="n"/>
      <c r="H60" s="21" t="n"/>
      <c r="I60" s="2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>
        <f>D527</f>
        <v/>
      </c>
      <c r="U60" s="1">
        <f>B520</f>
        <v/>
      </c>
      <c r="V60" s="1">
        <f>C520</f>
        <v/>
      </c>
      <c r="W60" s="1" t="n"/>
      <c r="X60" s="1">
        <f>I527</f>
        <v/>
      </c>
      <c r="Y60" s="1">
        <f>G520</f>
        <v/>
      </c>
      <c r="Z60" s="1">
        <f>H520</f>
        <v/>
      </c>
    </row>
    <row r="61" ht="20.25" customHeight="1">
      <c r="A61" s="21" t="n"/>
      <c r="B61" s="21" t="n"/>
      <c r="C61" s="21" t="n"/>
      <c r="D61" s="21" t="n"/>
      <c r="E61" s="2" t="n"/>
      <c r="F61" s="21" t="n"/>
      <c r="G61" s="21" t="n"/>
      <c r="H61" s="21" t="n"/>
      <c r="I61" s="2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>
        <f>D536</f>
        <v/>
      </c>
      <c r="U61" s="1">
        <f>B529</f>
        <v/>
      </c>
      <c r="V61" s="1">
        <f>C529</f>
        <v/>
      </c>
      <c r="W61" s="1" t="n"/>
      <c r="X61" s="1">
        <f>I536</f>
        <v/>
      </c>
      <c r="Y61" s="1">
        <f>G529</f>
        <v/>
      </c>
      <c r="Z61" s="1">
        <f>H529</f>
        <v/>
      </c>
    </row>
    <row r="62" ht="20.25" customHeight="1">
      <c r="A62" s="21" t="inlineStr">
        <is>
          <t>Total Payable</t>
        </is>
      </c>
      <c r="D62" s="21" t="n">
        <v>92250</v>
      </c>
      <c r="E62" s="2" t="n"/>
      <c r="F62" s="21" t="inlineStr">
        <is>
          <t>Total Payable</t>
        </is>
      </c>
      <c r="I62" s="21" t="n">
        <v>65300</v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>
        <f>D545</f>
        <v/>
      </c>
      <c r="U62" s="1">
        <f>B538</f>
        <v/>
      </c>
      <c r="V62" s="1">
        <f>C538</f>
        <v/>
      </c>
      <c r="W62" s="1" t="n"/>
      <c r="X62" s="1">
        <f>I545</f>
        <v/>
      </c>
      <c r="Y62" s="1">
        <f>G538</f>
        <v/>
      </c>
      <c r="Z62" s="1">
        <f>H538</f>
        <v/>
      </c>
    </row>
    <row r="63" ht="20.25" customHeight="1">
      <c r="A63" s="21" t="n"/>
      <c r="B63" s="21" t="n"/>
      <c r="C63" s="21" t="n"/>
      <c r="D63" s="21" t="n"/>
      <c r="E63" s="2" t="n"/>
      <c r="F63" s="21" t="n"/>
      <c r="G63" s="21" t="n"/>
      <c r="H63" s="21" t="n"/>
      <c r="I63" s="2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>
        <f>D554</f>
        <v/>
      </c>
      <c r="U63" s="1">
        <f>B547</f>
        <v/>
      </c>
      <c r="V63" s="1">
        <f>C547</f>
        <v/>
      </c>
      <c r="W63" s="1" t="n"/>
      <c r="X63">
        <f>I554</f>
        <v/>
      </c>
      <c r="Y63" s="1">
        <f>G547</f>
        <v/>
      </c>
      <c r="Z63" s="1">
        <f>H547</f>
        <v/>
      </c>
    </row>
    <row r="64" ht="20.25" customHeight="1">
      <c r="A64" s="16" t="inlineStr">
        <is>
          <t>NAME</t>
        </is>
      </c>
      <c r="B64" s="16" t="inlineStr">
        <is>
          <t>KUNARAMJI</t>
        </is>
      </c>
      <c r="C64" s="16" t="inlineStr">
        <is>
          <t>GANDHI NGR</t>
        </is>
      </c>
      <c r="D64" s="21" t="inlineStr">
        <is>
          <t>2026-01-04</t>
        </is>
      </c>
      <c r="E64" s="2" t="n"/>
      <c r="F64" s="21" t="inlineStr">
        <is>
          <t>Name</t>
        </is>
      </c>
      <c r="G64" s="21" t="inlineStr">
        <is>
          <t>CHENARAMJI</t>
        </is>
      </c>
      <c r="H64" s="21" t="inlineStr">
        <is>
          <t>CHINTAL</t>
        </is>
      </c>
      <c r="I64" s="21" t="inlineStr">
        <is>
          <t>2026-01-04</t>
        </is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>
        <f>D563</f>
        <v/>
      </c>
      <c r="U64">
        <f>B556</f>
        <v/>
      </c>
      <c r="V64" s="1">
        <f>C556</f>
        <v/>
      </c>
      <c r="W64" s="1" t="n"/>
      <c r="X64" s="1">
        <f>I563</f>
        <v/>
      </c>
      <c r="Y64" s="1">
        <f>G556</f>
        <v/>
      </c>
      <c r="Z64" s="1">
        <f>H556</f>
        <v/>
      </c>
    </row>
    <row r="65" ht="20.25" customHeight="1">
      <c r="A65" s="21" t="inlineStr">
        <is>
          <t>Month</t>
        </is>
      </c>
      <c r="B65" s="21" t="inlineStr">
        <is>
          <t>Plan</t>
        </is>
      </c>
      <c r="C65" s="21" t="inlineStr">
        <is>
          <t>Commission</t>
        </is>
      </c>
      <c r="D65" s="21" t="inlineStr">
        <is>
          <t>Amount</t>
        </is>
      </c>
      <c r="E65" s="2" t="n"/>
      <c r="F65" s="21" t="inlineStr">
        <is>
          <t>Month</t>
        </is>
      </c>
      <c r="G65" s="21" t="inlineStr">
        <is>
          <t>Plan</t>
        </is>
      </c>
      <c r="H65" s="21" t="inlineStr">
        <is>
          <t>Commission</t>
        </is>
      </c>
      <c r="I65" s="21" t="inlineStr">
        <is>
          <t>Amount</t>
        </is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>
        <f>D572</f>
        <v/>
      </c>
      <c r="U65" s="1">
        <f>B565</f>
        <v/>
      </c>
      <c r="V65" s="1">
        <f>C565</f>
        <v/>
      </c>
      <c r="W65" s="1" t="n"/>
      <c r="X65" s="1">
        <f>I572</f>
        <v/>
      </c>
      <c r="Y65" s="1">
        <f>G565</f>
        <v/>
      </c>
      <c r="Z65" s="1">
        <f>H565</f>
        <v/>
      </c>
    </row>
    <row r="66" ht="20.25" customHeight="1">
      <c r="A66" s="21" t="inlineStr">
        <is>
          <t>20.1</t>
        </is>
      </c>
      <c r="B66" s="21" t="n">
        <v>500000</v>
      </c>
      <c r="C66" s="21" t="n">
        <v>0</v>
      </c>
      <c r="D66" s="21" t="n">
        <v>25000</v>
      </c>
      <c r="E66" s="2" t="n"/>
      <c r="F66" s="21" t="inlineStr">
        <is>
          <t>20.1</t>
        </is>
      </c>
      <c r="G66" s="21" t="n">
        <v>500000</v>
      </c>
      <c r="H66" s="21" t="n">
        <v>0</v>
      </c>
      <c r="I66" s="21" t="n">
        <v>25000</v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>
        <f>D581</f>
        <v/>
      </c>
      <c r="U66" s="1">
        <f>B574</f>
        <v/>
      </c>
      <c r="V66">
        <f>C574</f>
        <v/>
      </c>
      <c r="X66" s="1" t="n"/>
      <c r="Y66" s="1" t="n"/>
      <c r="Z66" s="1" t="n"/>
    </row>
    <row r="67" ht="20.25" customHeight="1">
      <c r="A67" s="21" t="n">
        <v>9</v>
      </c>
      <c r="B67" s="21" t="n">
        <v>2000000</v>
      </c>
      <c r="C67" s="21" t="n">
        <v>7000</v>
      </c>
      <c r="D67" s="21" t="n">
        <v>93000</v>
      </c>
      <c r="E67" s="2" t="n"/>
      <c r="F67" s="21" t="n">
        <v>9</v>
      </c>
      <c r="G67" s="21" t="n">
        <v>500000</v>
      </c>
      <c r="H67" s="21" t="n">
        <v>2000</v>
      </c>
      <c r="I67" s="21" t="n">
        <v>23000</v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U67" s="1" t="n"/>
      <c r="V67" s="1" t="n"/>
      <c r="W67" s="1" t="n"/>
      <c r="Y67" s="1" t="n"/>
      <c r="Z67" s="1" t="n"/>
    </row>
    <row r="68" ht="20.25" customHeight="1">
      <c r="A68" s="21" t="n"/>
      <c r="B68" s="21" t="n"/>
      <c r="C68" s="21" t="n"/>
      <c r="D68" s="21" t="n"/>
      <c r="E68" s="2" t="n"/>
      <c r="F68" s="21" t="n"/>
      <c r="G68" s="21" t="n"/>
      <c r="H68" s="21" t="n"/>
      <c r="I68" s="2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20.25" customHeight="1">
      <c r="A69" s="21" t="n"/>
      <c r="B69" s="21" t="n"/>
      <c r="C69" s="21" t="n"/>
      <c r="D69" s="21" t="n"/>
      <c r="E69" s="2" t="n"/>
      <c r="F69" s="21" t="n"/>
      <c r="G69" s="21" t="n"/>
      <c r="H69" s="21" t="n"/>
      <c r="I69" s="2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>
        <f>SUM(T3:T67)</f>
        <v/>
      </c>
      <c r="U69" s="1" t="n"/>
      <c r="V69" s="1" t="n"/>
      <c r="W69" s="1" t="n"/>
      <c r="X69" s="1">
        <f>SUM(X3:X66)</f>
        <v/>
      </c>
      <c r="Y69" s="1" t="n"/>
      <c r="Z69" s="1" t="n"/>
    </row>
    <row r="70" ht="20.25" customHeight="1">
      <c r="A70" s="21" t="n"/>
      <c r="B70" s="21" t="n"/>
      <c r="C70" s="21" t="n"/>
      <c r="D70" s="21" t="n"/>
      <c r="E70" s="2" t="n"/>
      <c r="F70" s="2" t="n"/>
      <c r="G70" s="2" t="n"/>
      <c r="H70" s="2" t="n"/>
      <c r="I70" s="2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20.25" customHeight="1">
      <c r="A71" s="16" t="inlineStr">
        <is>
          <t>TOTAL PAYABLE</t>
        </is>
      </c>
      <c r="B71" s="16" t="n"/>
      <c r="C71" s="13" t="n"/>
      <c r="D71" s="21" t="n">
        <v>118000</v>
      </c>
      <c r="E71" s="2" t="n"/>
      <c r="F71" s="21" t="inlineStr">
        <is>
          <t>Total Payable</t>
        </is>
      </c>
      <c r="I71" s="21" t="n">
        <v>48000</v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inlineStr">
        <is>
          <t>TOTAL</t>
        </is>
      </c>
      <c r="W71" s="7" t="n"/>
      <c r="X71" s="1">
        <f>SUM(T69,X69)</f>
        <v/>
      </c>
      <c r="Y71" s="1" t="n"/>
      <c r="Z71" s="1" t="n"/>
    </row>
    <row r="72" ht="20.25" customHeight="1">
      <c r="A72" s="21" t="n"/>
      <c r="B72" s="21" t="n"/>
      <c r="C72" s="21" t="n"/>
      <c r="D72" s="21" t="n"/>
      <c r="E72" s="2" t="n"/>
      <c r="F72" s="21" t="n"/>
      <c r="G72" s="21" t="n"/>
      <c r="H72" s="21" t="n"/>
      <c r="I72" s="2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0.25" customHeight="1">
      <c r="A73" s="21" t="inlineStr">
        <is>
          <t>Name</t>
        </is>
      </c>
      <c r="B73" s="21" t="inlineStr">
        <is>
          <t>MATAJI</t>
        </is>
      </c>
      <c r="C73" s="21" t="inlineStr">
        <is>
          <t>G.R</t>
        </is>
      </c>
      <c r="D73" s="21" t="inlineStr">
        <is>
          <t>2026-01-04</t>
        </is>
      </c>
      <c r="E73" s="2" t="n"/>
      <c r="F73" s="21" t="inlineStr">
        <is>
          <t>Name</t>
        </is>
      </c>
      <c r="G73" s="21" t="inlineStr">
        <is>
          <t>MATAJI</t>
        </is>
      </c>
      <c r="H73" s="21" t="inlineStr">
        <is>
          <t>J.E.W</t>
        </is>
      </c>
      <c r="I73" s="21" t="inlineStr">
        <is>
          <t>2026-01-04</t>
        </is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20.25" customHeight="1">
      <c r="A74" s="21" t="inlineStr">
        <is>
          <t>Month</t>
        </is>
      </c>
      <c r="B74" s="21" t="inlineStr">
        <is>
          <t>Plan</t>
        </is>
      </c>
      <c r="C74" s="21" t="inlineStr">
        <is>
          <t>Commission</t>
        </is>
      </c>
      <c r="D74" s="21" t="inlineStr">
        <is>
          <t>Amount</t>
        </is>
      </c>
      <c r="E74" s="2" t="n"/>
      <c r="F74" s="21" t="inlineStr">
        <is>
          <t>Month</t>
        </is>
      </c>
      <c r="G74" s="21" t="inlineStr">
        <is>
          <t>Plan</t>
        </is>
      </c>
      <c r="H74" s="21" t="inlineStr">
        <is>
          <t>Commission</t>
        </is>
      </c>
      <c r="I74" s="21" t="inlineStr">
        <is>
          <t>Amount</t>
        </is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20.25" customHeight="1">
      <c r="A75" s="21" t="n">
        <v>20</v>
      </c>
      <c r="B75" s="21" t="n">
        <v>1000000</v>
      </c>
      <c r="C75" s="21" t="n">
        <v>0</v>
      </c>
      <c r="D75" s="21" t="n">
        <v>50000</v>
      </c>
      <c r="E75" s="2" t="n"/>
      <c r="F75" s="21" t="n">
        <v>4</v>
      </c>
      <c r="G75" s="21" t="n">
        <v>1000000</v>
      </c>
      <c r="H75" s="21" t="n">
        <v>7750</v>
      </c>
      <c r="I75" s="21" t="n">
        <v>42250</v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20.25" customHeight="1">
      <c r="A76" s="21" t="inlineStr">
        <is>
          <t>20.1</t>
        </is>
      </c>
      <c r="B76" s="21" t="n">
        <v>1000000</v>
      </c>
      <c r="C76" s="21" t="n">
        <v>0</v>
      </c>
      <c r="D76" s="21" t="n">
        <v>50000</v>
      </c>
      <c r="E76" s="2" t="n"/>
      <c r="F76" s="21" t="n">
        <v>4</v>
      </c>
      <c r="G76" s="21" t="n">
        <v>1000000</v>
      </c>
      <c r="H76" s="21" t="n">
        <v>7750</v>
      </c>
      <c r="I76" s="21" t="n">
        <v>42250</v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0.25" customHeight="1">
      <c r="A77" s="21" t="n">
        <v>4</v>
      </c>
      <c r="B77" s="21" t="n">
        <v>1000000</v>
      </c>
      <c r="C77" s="21" t="n">
        <v>7750</v>
      </c>
      <c r="D77" s="21" t="n">
        <v>42250</v>
      </c>
      <c r="E77" s="2" t="n"/>
      <c r="F77" s="21" t="inlineStr">
        <is>
          <t>4.1</t>
        </is>
      </c>
      <c r="G77" s="21" t="n">
        <v>1000000</v>
      </c>
      <c r="H77" s="21" t="n">
        <v>7700</v>
      </c>
      <c r="I77" s="21" t="n">
        <v>42300</v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0.25" customHeight="1">
      <c r="A78" s="21" t="inlineStr">
        <is>
          <t>4.1</t>
        </is>
      </c>
      <c r="B78" s="21" t="n">
        <v>1000000</v>
      </c>
      <c r="C78" s="21" t="n">
        <v>7700</v>
      </c>
      <c r="D78" s="21" t="n">
        <v>42300</v>
      </c>
      <c r="E78" s="2" t="n"/>
      <c r="F78" s="21" t="inlineStr">
        <is>
          <t>4.1</t>
        </is>
      </c>
      <c r="G78" s="21" t="n">
        <v>1000000</v>
      </c>
      <c r="H78" s="21" t="n">
        <v>7700</v>
      </c>
      <c r="I78" s="21" t="n">
        <v>42300</v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20.25" customHeight="1">
      <c r="A79" s="21" t="inlineStr">
        <is>
          <t>4.1</t>
        </is>
      </c>
      <c r="B79" s="21" t="n">
        <v>1000000</v>
      </c>
      <c r="C79" s="21" t="n">
        <v>7700</v>
      </c>
      <c r="D79" s="21" t="n">
        <v>42300</v>
      </c>
      <c r="E79" s="2" t="n"/>
      <c r="F79" s="21" t="n">
        <v>9</v>
      </c>
      <c r="G79" s="21" t="n">
        <v>500000</v>
      </c>
      <c r="H79" s="21" t="n">
        <v>2000</v>
      </c>
      <c r="I79" s="21" t="n">
        <v>23000</v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20.25" customHeight="1">
      <c r="A80" s="21" t="n">
        <v>14</v>
      </c>
      <c r="B80" s="21" t="n">
        <v>250000</v>
      </c>
      <c r="C80" s="21" t="n">
        <v>450</v>
      </c>
      <c r="D80" s="21" t="n">
        <v>12050</v>
      </c>
      <c r="E80" s="2" t="n"/>
      <c r="F80" s="21" t="n">
        <v>20</v>
      </c>
      <c r="G80" s="21" t="n">
        <v>500000</v>
      </c>
      <c r="H80" s="21" t="n">
        <v>0</v>
      </c>
      <c r="I80" s="21" t="n">
        <v>25000</v>
      </c>
      <c r="J80" s="1" t="n"/>
      <c r="K80" s="1" t="n"/>
      <c r="L80" s="1" t="n"/>
      <c r="M80" s="1" t="n"/>
      <c r="N80" s="1" t="n"/>
      <c r="O80" s="22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20.25" customHeight="1">
      <c r="A81" s="21" t="inlineStr">
        <is>
          <t>20.1</t>
        </is>
      </c>
      <c r="B81" s="21" t="n">
        <v>500000</v>
      </c>
      <c r="C81" s="21" t="n">
        <v>0</v>
      </c>
      <c r="D81" s="21" t="n">
        <v>25000</v>
      </c>
      <c r="E81" s="2" t="n"/>
      <c r="F81" s="21" t="n">
        <v>20</v>
      </c>
      <c r="G81" s="21" t="n">
        <v>500000</v>
      </c>
      <c r="H81" s="21" t="n">
        <v>0</v>
      </c>
      <c r="I81" s="21" t="n">
        <v>25000</v>
      </c>
      <c r="J81" s="1" t="n"/>
      <c r="K81" s="1" t="n"/>
      <c r="L81" s="22" t="n"/>
      <c r="M81" s="22" t="n"/>
      <c r="N81" s="22" t="n"/>
      <c r="O81" s="22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20.25" customHeight="1">
      <c r="A82" s="21" t="n">
        <v>20</v>
      </c>
      <c r="B82" s="21" t="n">
        <v>250000</v>
      </c>
      <c r="C82" s="21" t="n">
        <v>0</v>
      </c>
      <c r="D82" s="21" t="n">
        <v>12500</v>
      </c>
      <c r="E82" s="2" t="n"/>
      <c r="F82" s="21" t="n">
        <v>20</v>
      </c>
      <c r="G82" s="21" t="n">
        <v>1000000</v>
      </c>
      <c r="H82" s="21" t="n">
        <v>0</v>
      </c>
      <c r="I82" s="21" t="n">
        <v>50000</v>
      </c>
      <c r="J82" s="1" t="n"/>
      <c r="K82" s="1" t="n"/>
      <c r="L82" s="22" t="n"/>
      <c r="M82" s="22" t="n"/>
      <c r="N82" s="22" t="n"/>
      <c r="O82" s="22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20.25" customHeight="1">
      <c r="A83" s="21" t="n">
        <v>9</v>
      </c>
      <c r="B83" s="21" t="n">
        <v>2000000</v>
      </c>
      <c r="C83" s="21" t="n">
        <v>7000</v>
      </c>
      <c r="D83" s="21" t="n">
        <v>93000</v>
      </c>
      <c r="E83" s="2" t="n"/>
      <c r="F83" s="21" t="inlineStr">
        <is>
          <t>20.1</t>
        </is>
      </c>
      <c r="G83" s="21" t="n">
        <v>1000000</v>
      </c>
      <c r="H83" s="21" t="n">
        <v>0</v>
      </c>
      <c r="I83" s="21" t="n">
        <v>50000</v>
      </c>
      <c r="J83" s="1" t="n"/>
      <c r="K83" s="1" t="n"/>
      <c r="L83" s="22" t="n"/>
      <c r="M83" s="22" t="n"/>
      <c r="N83" s="22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20.25" customHeight="1">
      <c r="A84" s="21" t="n">
        <v>4</v>
      </c>
      <c r="B84" s="21" t="n">
        <v>500000</v>
      </c>
      <c r="C84" s="21" t="n">
        <v>3250</v>
      </c>
      <c r="D84" s="21" t="n">
        <v>21750</v>
      </c>
      <c r="E84" s="2" t="n"/>
      <c r="F84" s="21" t="n">
        <v>9</v>
      </c>
      <c r="G84" s="21" t="n">
        <v>1000000</v>
      </c>
      <c r="H84" s="21" t="n">
        <v>3250</v>
      </c>
      <c r="I84" s="21" t="n">
        <v>46750</v>
      </c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20.25" customHeight="1">
      <c r="A85" s="21" t="inlineStr">
        <is>
          <t>Total Payable</t>
        </is>
      </c>
      <c r="B85" s="21" t="n"/>
      <c r="C85" s="21" t="n"/>
      <c r="D85" s="21" t="n">
        <v>391150</v>
      </c>
      <c r="E85" s="2" t="n"/>
      <c r="F85" s="21" t="inlineStr">
        <is>
          <t>Total Payable</t>
        </is>
      </c>
      <c r="I85" s="21" t="n">
        <v>388850</v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6.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0.25" customHeight="1">
      <c r="A87" s="21" t="inlineStr">
        <is>
          <t>Name</t>
        </is>
      </c>
      <c r="B87" s="21" t="inlineStr">
        <is>
          <t>MOHANLALJI</t>
        </is>
      </c>
      <c r="C87" s="21" t="inlineStr">
        <is>
          <t>SNT.NAGAR</t>
        </is>
      </c>
      <c r="D87" s="21" t="inlineStr">
        <is>
          <t>2026-01-04</t>
        </is>
      </c>
      <c r="E87" s="2" t="n"/>
      <c r="F87" s="21" t="inlineStr">
        <is>
          <t>Name</t>
        </is>
      </c>
      <c r="G87" s="21" t="inlineStr">
        <is>
          <t>SUNILJI</t>
        </is>
      </c>
      <c r="H87" s="21" t="inlineStr">
        <is>
          <t>S.P</t>
        </is>
      </c>
      <c r="I87" s="21" t="inlineStr">
        <is>
          <t>2026-01-04</t>
        </is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20.25" customHeight="1">
      <c r="A88" s="21" t="inlineStr">
        <is>
          <t>Month</t>
        </is>
      </c>
      <c r="B88" s="21" t="inlineStr">
        <is>
          <t>Plan</t>
        </is>
      </c>
      <c r="C88" s="21" t="inlineStr">
        <is>
          <t>Commission</t>
        </is>
      </c>
      <c r="D88" s="21" t="inlineStr">
        <is>
          <t>Amount</t>
        </is>
      </c>
      <c r="E88" s="2" t="n"/>
      <c r="F88" s="21" t="inlineStr">
        <is>
          <t>Month</t>
        </is>
      </c>
      <c r="G88" s="21" t="inlineStr">
        <is>
          <t>Plan</t>
        </is>
      </c>
      <c r="H88" s="21" t="inlineStr">
        <is>
          <t>Commission</t>
        </is>
      </c>
      <c r="I88" s="21" t="inlineStr">
        <is>
          <t>Amount</t>
        </is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20.25" customHeight="1">
      <c r="A89" s="21" t="inlineStr">
        <is>
          <t>20.1</t>
        </is>
      </c>
      <c r="B89" s="21" t="n">
        <v>1000000</v>
      </c>
      <c r="C89" s="21" t="n">
        <v>0</v>
      </c>
      <c r="D89" s="21" t="n">
        <v>50000</v>
      </c>
      <c r="E89" s="2" t="n"/>
      <c r="F89" s="21" t="inlineStr">
        <is>
          <t>20.1</t>
        </is>
      </c>
      <c r="G89" s="21" t="n">
        <v>500000</v>
      </c>
      <c r="H89" s="21" t="n">
        <v>0</v>
      </c>
      <c r="I89" s="21" t="n">
        <v>25000</v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20.25" customHeight="1">
      <c r="A90" s="21" t="n">
        <v>4</v>
      </c>
      <c r="B90" s="21" t="n">
        <v>1000000</v>
      </c>
      <c r="C90" s="21" t="n">
        <v>7750</v>
      </c>
      <c r="D90" s="21" t="n">
        <v>42250</v>
      </c>
      <c r="E90" s="2" t="n"/>
      <c r="F90" s="21" t="n"/>
      <c r="G90" s="21" t="n"/>
      <c r="H90" s="21" t="n"/>
      <c r="I90" s="2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20.25" customHeight="1">
      <c r="A91" s="21" t="n">
        <v>9</v>
      </c>
      <c r="B91" s="21" t="n">
        <v>2000000</v>
      </c>
      <c r="C91" s="21" t="n">
        <v>7000</v>
      </c>
      <c r="D91" s="21" t="n">
        <v>93000</v>
      </c>
      <c r="E91" s="2" t="n"/>
      <c r="F91" s="21" t="n"/>
      <c r="G91" s="21" t="n"/>
      <c r="H91" s="21" t="n"/>
      <c r="I91" s="2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0.25" customHeight="1">
      <c r="A92" s="21" t="n">
        <v>9</v>
      </c>
      <c r="B92" s="21" t="n">
        <v>2000000</v>
      </c>
      <c r="C92" s="21" t="n">
        <v>7000</v>
      </c>
      <c r="D92" s="21" t="n">
        <v>93000</v>
      </c>
      <c r="E92" s="2" t="n"/>
      <c r="F92" s="21" t="n"/>
      <c r="G92" s="21" t="n"/>
      <c r="H92" s="21" t="n"/>
      <c r="I92" s="2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20.25" customHeight="1">
      <c r="A93" s="21" t="n"/>
      <c r="B93" s="21" t="n"/>
      <c r="C93" s="21" t="n"/>
      <c r="D93" s="21" t="n"/>
      <c r="E93" s="2" t="n"/>
      <c r="F93" s="21" t="n"/>
      <c r="G93" s="21" t="n"/>
      <c r="H93" s="21" t="n"/>
      <c r="I93" s="2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20.25" customHeight="1">
      <c r="A94" s="21" t="inlineStr">
        <is>
          <t>Total Payable</t>
        </is>
      </c>
      <c r="B94" s="21" t="n"/>
      <c r="C94" s="21" t="n"/>
      <c r="D94" s="21" t="n">
        <v>278250</v>
      </c>
      <c r="E94" s="2" t="n"/>
      <c r="F94" s="21" t="inlineStr">
        <is>
          <t>Total Payable</t>
        </is>
      </c>
      <c r="I94" s="21" t="n">
        <v>25000</v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6.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20.25" customHeight="1">
      <c r="A96" s="21" t="inlineStr">
        <is>
          <t>Name</t>
        </is>
      </c>
      <c r="B96" s="21" t="inlineStr">
        <is>
          <t>PRAKASHJI</t>
        </is>
      </c>
      <c r="C96" s="21" t="inlineStr">
        <is>
          <t>KONDAPUR</t>
        </is>
      </c>
      <c r="D96" s="21" t="inlineStr">
        <is>
          <t>2026-01-04</t>
        </is>
      </c>
      <c r="E96" s="2" t="n"/>
      <c r="F96" s="21" t="inlineStr">
        <is>
          <t>Name</t>
        </is>
      </c>
      <c r="G96" s="21" t="inlineStr">
        <is>
          <t>NEMARAMJI</t>
        </is>
      </c>
      <c r="H96" s="21" t="inlineStr">
        <is>
          <t>S.R NAGAR</t>
        </is>
      </c>
      <c r="I96" s="21" t="inlineStr">
        <is>
          <t>2026-01-04</t>
        </is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20.25" customHeight="1">
      <c r="A97" s="21" t="inlineStr">
        <is>
          <t>Month</t>
        </is>
      </c>
      <c r="B97" s="21" t="inlineStr">
        <is>
          <t>Plan</t>
        </is>
      </c>
      <c r="C97" s="21" t="inlineStr">
        <is>
          <t>Commission</t>
        </is>
      </c>
      <c r="D97" s="21" t="inlineStr">
        <is>
          <t>Amount</t>
        </is>
      </c>
      <c r="E97" s="2" t="n"/>
      <c r="F97" s="21" t="inlineStr">
        <is>
          <t>Month</t>
        </is>
      </c>
      <c r="G97" s="21" t="inlineStr">
        <is>
          <t>Plan</t>
        </is>
      </c>
      <c r="H97" s="21" t="inlineStr">
        <is>
          <t>Commission</t>
        </is>
      </c>
      <c r="I97" s="21" t="inlineStr">
        <is>
          <t>Amount</t>
        </is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20.25" customHeight="1">
      <c r="A98" s="21" t="n">
        <v>20</v>
      </c>
      <c r="B98" s="21" t="n">
        <v>500000</v>
      </c>
      <c r="C98" s="21" t="n">
        <v>0</v>
      </c>
      <c r="D98" s="21" t="n">
        <v>25000</v>
      </c>
      <c r="E98" s="2" t="n"/>
      <c r="F98" s="21" t="n">
        <v>20</v>
      </c>
      <c r="G98" s="21" t="n">
        <v>1000000</v>
      </c>
      <c r="H98" s="21" t="n">
        <v>0</v>
      </c>
      <c r="I98" s="21" t="n">
        <v>50000</v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20.25" customHeight="1">
      <c r="A99" s="21" t="n">
        <v>9</v>
      </c>
      <c r="B99" s="21" t="n">
        <v>500000</v>
      </c>
      <c r="C99" s="21" t="n">
        <v>2000</v>
      </c>
      <c r="D99" s="21" t="n">
        <v>23000</v>
      </c>
      <c r="E99" s="2" t="n"/>
      <c r="F99" s="21" t="inlineStr">
        <is>
          <t>20.1</t>
        </is>
      </c>
      <c r="G99" s="21" t="n">
        <v>1000000</v>
      </c>
      <c r="H99" s="21" t="n">
        <v>0</v>
      </c>
      <c r="I99" s="21" t="n">
        <v>50000</v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20.25" customHeight="1">
      <c r="A100" s="21" t="n"/>
      <c r="B100" s="21" t="n"/>
      <c r="C100" s="21" t="n"/>
      <c r="D100" s="21" t="n"/>
      <c r="E100" s="2" t="n"/>
      <c r="F100" s="21" t="n">
        <v>4</v>
      </c>
      <c r="G100" s="21" t="n">
        <v>1000000</v>
      </c>
      <c r="H100" s="21" t="n">
        <v>7750</v>
      </c>
      <c r="I100" s="21" t="n">
        <v>42250</v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20.25" customHeight="1">
      <c r="A101" s="21" t="n"/>
      <c r="B101" s="21" t="n"/>
      <c r="C101" s="21" t="n"/>
      <c r="D101" s="21" t="n"/>
      <c r="E101" s="2" t="n"/>
      <c r="F101" s="21" t="n"/>
      <c r="G101" s="21" t="n"/>
      <c r="H101" s="21" t="n"/>
      <c r="I101" s="2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0.25" customHeight="1">
      <c r="A102" s="21" t="n"/>
      <c r="B102" s="21" t="n"/>
      <c r="C102" s="21" t="n"/>
      <c r="D102" s="21" t="n"/>
      <c r="E102" s="2" t="n"/>
      <c r="F102" s="21" t="n"/>
      <c r="G102" s="21" t="n"/>
      <c r="H102" s="21" t="n"/>
      <c r="I102" s="2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20.25" customHeight="1">
      <c r="A103" s="21" t="inlineStr">
        <is>
          <t>Total Payable</t>
        </is>
      </c>
      <c r="B103" s="21" t="n"/>
      <c r="C103" s="21" t="n"/>
      <c r="D103" s="21" t="n">
        <v>48000</v>
      </c>
      <c r="E103" s="2" t="n"/>
      <c r="F103" s="21" t="inlineStr">
        <is>
          <t>Total Payable</t>
        </is>
      </c>
      <c r="I103" s="21" t="n">
        <v>142250</v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6.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21.75" customHeight="1">
      <c r="A105" s="21" t="inlineStr">
        <is>
          <t>Name</t>
        </is>
      </c>
      <c r="B105" s="21" t="inlineStr">
        <is>
          <t>NARAYANJI</t>
        </is>
      </c>
      <c r="C105" s="21" t="inlineStr">
        <is>
          <t>SHAPUR</t>
        </is>
      </c>
      <c r="D105" s="21" t="inlineStr">
        <is>
          <t>2026-01-04</t>
        </is>
      </c>
      <c r="E105" s="2" t="n"/>
      <c r="F105" s="21" t="inlineStr">
        <is>
          <t>Name</t>
        </is>
      </c>
      <c r="G105" s="21" t="inlineStr">
        <is>
          <t>HIMTARAMJI</t>
        </is>
      </c>
      <c r="H105" s="21" t="inlineStr">
        <is>
          <t>MEDCHAL</t>
        </is>
      </c>
      <c r="I105" s="21" t="inlineStr">
        <is>
          <t>2026-01-04</t>
        </is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20.25" customHeight="1">
      <c r="A106" s="21" t="inlineStr">
        <is>
          <t>Month</t>
        </is>
      </c>
      <c r="B106" s="21" t="inlineStr">
        <is>
          <t>Plan</t>
        </is>
      </c>
      <c r="C106" s="21" t="inlineStr">
        <is>
          <t>Commission</t>
        </is>
      </c>
      <c r="D106" s="21" t="inlineStr">
        <is>
          <t>Amount</t>
        </is>
      </c>
      <c r="E106" s="2" t="n"/>
      <c r="F106" s="21" t="inlineStr">
        <is>
          <t>Month</t>
        </is>
      </c>
      <c r="G106" s="21" t="inlineStr">
        <is>
          <t>Plan</t>
        </is>
      </c>
      <c r="H106" s="21" t="inlineStr">
        <is>
          <t>Commission</t>
        </is>
      </c>
      <c r="I106" s="21" t="inlineStr">
        <is>
          <t>Amount</t>
        </is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20.25" customHeight="1">
      <c r="A107" s="21" t="n">
        <v>20</v>
      </c>
      <c r="B107" s="21" t="n">
        <v>500000</v>
      </c>
      <c r="C107" s="21" t="n">
        <v>0</v>
      </c>
      <c r="D107" s="21" t="n">
        <v>25000</v>
      </c>
      <c r="E107" s="2" t="n"/>
      <c r="F107" s="21" t="n">
        <v>20</v>
      </c>
      <c r="G107" s="21" t="n">
        <v>500000</v>
      </c>
      <c r="H107" s="21" t="n">
        <v>0</v>
      </c>
      <c r="I107" s="21" t="n">
        <v>25000</v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20.25" customHeight="1">
      <c r="A108" s="21" t="n"/>
      <c r="B108" s="21" t="n"/>
      <c r="C108" s="21" t="n"/>
      <c r="D108" s="21" t="n"/>
      <c r="E108" s="2" t="n"/>
      <c r="F108" s="21" t="n">
        <v>20</v>
      </c>
      <c r="G108" s="21" t="n">
        <v>1000000</v>
      </c>
      <c r="H108" s="21" t="n">
        <v>0</v>
      </c>
      <c r="I108" s="21" t="n">
        <v>50000</v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20.25" customHeight="1">
      <c r="A109" s="21" t="n"/>
      <c r="B109" s="21" t="n"/>
      <c r="C109" s="21" t="n"/>
      <c r="D109" s="21" t="n"/>
      <c r="E109" s="2" t="n"/>
      <c r="F109" s="21" t="n">
        <v>9</v>
      </c>
      <c r="G109" s="21" t="n">
        <v>2000000</v>
      </c>
      <c r="H109" s="21" t="n">
        <v>7000</v>
      </c>
      <c r="I109" s="21" t="n">
        <v>93000</v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20.25" customHeight="1">
      <c r="A110" s="21" t="n"/>
      <c r="B110" s="21" t="n"/>
      <c r="C110" s="21" t="n"/>
      <c r="D110" s="21" t="n"/>
      <c r="E110" s="2" t="n"/>
      <c r="F110" s="21" t="n"/>
      <c r="G110" s="21" t="n"/>
      <c r="H110" s="21" t="n"/>
      <c r="I110" s="2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20.25" customHeight="1">
      <c r="A111" s="21" t="n"/>
      <c r="B111" s="21" t="n"/>
      <c r="C111" s="21" t="n"/>
      <c r="D111" s="21" t="n"/>
      <c r="E111" s="2" t="n"/>
      <c r="F111" s="21" t="n"/>
      <c r="G111" s="21" t="n"/>
      <c r="H111" s="21" t="n"/>
      <c r="I111" s="2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0.25" customHeight="1">
      <c r="A112" s="21" t="inlineStr">
        <is>
          <t>Total Payable</t>
        </is>
      </c>
      <c r="B112" s="21" t="n"/>
      <c r="C112" s="21" t="n"/>
      <c r="D112" s="21" t="n">
        <v>25000</v>
      </c>
      <c r="E112" s="2" t="n"/>
      <c r="F112" s="21" t="inlineStr">
        <is>
          <t>Total Payable</t>
        </is>
      </c>
      <c r="I112" s="21" t="n">
        <v>168000</v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6.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20.25" customHeight="1">
      <c r="A114" s="21" t="inlineStr">
        <is>
          <t>Name</t>
        </is>
      </c>
      <c r="B114" s="21" t="inlineStr">
        <is>
          <t>CHENARAMJI</t>
        </is>
      </c>
      <c r="C114" s="21" t="inlineStr">
        <is>
          <t>KOTLAPUR</t>
        </is>
      </c>
      <c r="D114" s="21" t="inlineStr">
        <is>
          <t>2026-01-04</t>
        </is>
      </c>
      <c r="E114" s="2" t="n"/>
      <c r="F114" s="21" t="inlineStr">
        <is>
          <t>Name</t>
        </is>
      </c>
      <c r="G114" s="21" t="inlineStr">
        <is>
          <t>GOVINDJI</t>
        </is>
      </c>
      <c r="H114" s="21" t="inlineStr">
        <is>
          <t>MGD NAGAR</t>
        </is>
      </c>
      <c r="I114" s="21" t="inlineStr">
        <is>
          <t>2026-01-04</t>
        </is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20.25" customHeight="1">
      <c r="A115" s="21" t="inlineStr">
        <is>
          <t>Month</t>
        </is>
      </c>
      <c r="B115" s="21" t="inlineStr">
        <is>
          <t>Plan</t>
        </is>
      </c>
      <c r="C115" s="21" t="inlineStr">
        <is>
          <t>Commission</t>
        </is>
      </c>
      <c r="D115" s="21" t="inlineStr">
        <is>
          <t>Amount</t>
        </is>
      </c>
      <c r="E115" s="2" t="n"/>
      <c r="F115" s="21" t="inlineStr">
        <is>
          <t>Month</t>
        </is>
      </c>
      <c r="G115" s="21" t="inlineStr">
        <is>
          <t>Plan</t>
        </is>
      </c>
      <c r="H115" s="21" t="inlineStr">
        <is>
          <t>Commission</t>
        </is>
      </c>
      <c r="I115" s="21" t="inlineStr">
        <is>
          <t>Amount</t>
        </is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20.25" customHeight="1">
      <c r="A116" s="21" t="n">
        <v>20</v>
      </c>
      <c r="B116" s="21" t="n">
        <v>500000</v>
      </c>
      <c r="C116" s="21" t="n">
        <v>0</v>
      </c>
      <c r="D116" s="21" t="n">
        <v>25000</v>
      </c>
      <c r="E116" s="2" t="n"/>
      <c r="F116" s="21" t="n">
        <v>20</v>
      </c>
      <c r="G116" s="21" t="n">
        <v>1000000</v>
      </c>
      <c r="H116" s="21" t="n">
        <v>0</v>
      </c>
      <c r="I116" s="21" t="n">
        <v>50000</v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20.25" customHeight="1">
      <c r="A117" s="21" t="inlineStr">
        <is>
          <t>4.1</t>
        </is>
      </c>
      <c r="B117" s="21" t="n">
        <v>1000000</v>
      </c>
      <c r="C117" s="21" t="n">
        <v>7700</v>
      </c>
      <c r="D117" s="21" t="n">
        <v>42300</v>
      </c>
      <c r="E117" s="2" t="n"/>
      <c r="F117" s="21" t="n">
        <v>9</v>
      </c>
      <c r="G117" s="21" t="n">
        <v>2000000</v>
      </c>
      <c r="H117" s="21" t="n">
        <v>7000</v>
      </c>
      <c r="I117" s="21" t="n">
        <v>93000</v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20.25" customHeight="1">
      <c r="A118" s="21" t="n">
        <v>14</v>
      </c>
      <c r="B118" s="21" t="n">
        <v>500000</v>
      </c>
      <c r="C118" s="21" t="n">
        <v>900</v>
      </c>
      <c r="D118" s="21" t="n">
        <v>24100</v>
      </c>
      <c r="E118" s="2" t="n"/>
      <c r="F118" s="21" t="n"/>
      <c r="G118" s="21" t="n"/>
      <c r="H118" s="21" t="n"/>
      <c r="I118" s="2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20.25" customHeight="1">
      <c r="A119" s="21" t="n">
        <v>14</v>
      </c>
      <c r="B119" s="21" t="n">
        <v>500000</v>
      </c>
      <c r="C119" s="21" t="n">
        <v>900</v>
      </c>
      <c r="D119" s="21" t="n">
        <v>24100</v>
      </c>
      <c r="E119" s="2" t="n"/>
      <c r="F119" s="21" t="n"/>
      <c r="G119" s="21" t="n"/>
      <c r="H119" s="21" t="n"/>
      <c r="I119" s="2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20.25" customHeight="1">
      <c r="A120" s="21" t="n"/>
      <c r="B120" s="21" t="n"/>
      <c r="C120" s="21" t="n"/>
      <c r="D120" s="21" t="n"/>
      <c r="E120" s="2" t="n"/>
      <c r="F120" s="21" t="n"/>
      <c r="G120" s="21" t="n"/>
      <c r="H120" s="21" t="n"/>
      <c r="I120" s="2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20.25" customHeight="1">
      <c r="A121" s="21" t="inlineStr">
        <is>
          <t>Total Payable</t>
        </is>
      </c>
      <c r="B121" s="21" t="n"/>
      <c r="C121" s="21" t="n"/>
      <c r="D121" s="21" t="n">
        <v>115500</v>
      </c>
      <c r="E121" s="2" t="n"/>
      <c r="F121" s="21" t="inlineStr">
        <is>
          <t>Total Payable</t>
        </is>
      </c>
      <c r="I121" s="21" t="n">
        <v>143000</v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6.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20.25" customHeight="1">
      <c r="A123" s="21" t="inlineStr">
        <is>
          <t>Name</t>
        </is>
      </c>
      <c r="B123" s="21" t="inlineStr">
        <is>
          <t>NARAYANLALJI</t>
        </is>
      </c>
      <c r="C123" s="21" t="inlineStr">
        <is>
          <t>SUBASH NGR</t>
        </is>
      </c>
      <c r="D123" s="21" t="inlineStr">
        <is>
          <t>2026-01-04</t>
        </is>
      </c>
      <c r="E123" s="2" t="n"/>
      <c r="F123" s="21" t="inlineStr">
        <is>
          <t>Name</t>
        </is>
      </c>
      <c r="G123" s="21" t="inlineStr">
        <is>
          <t>VAKTARAMJI</t>
        </is>
      </c>
      <c r="H123" s="21" t="inlineStr">
        <is>
          <t>RMNTPUR</t>
        </is>
      </c>
      <c r="I123" s="21" t="inlineStr">
        <is>
          <t>2026-01-04</t>
        </is>
      </c>
      <c r="J123" s="1" t="n"/>
      <c r="K123" s="1" t="n"/>
      <c r="L123" s="1" t="n"/>
      <c r="M123" s="1" t="inlineStr">
        <is>
          <t>B</t>
        </is>
      </c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20.25" customHeight="1">
      <c r="A124" s="21" t="inlineStr">
        <is>
          <t>Month</t>
        </is>
      </c>
      <c r="B124" s="21" t="inlineStr">
        <is>
          <t>Plan</t>
        </is>
      </c>
      <c r="C124" s="21" t="inlineStr">
        <is>
          <t>Commission</t>
        </is>
      </c>
      <c r="D124" s="21" t="inlineStr">
        <is>
          <t>Amount</t>
        </is>
      </c>
      <c r="E124" s="2" t="n"/>
      <c r="F124" s="21" t="inlineStr">
        <is>
          <t>Month</t>
        </is>
      </c>
      <c r="G124" s="21" t="inlineStr">
        <is>
          <t>Plan</t>
        </is>
      </c>
      <c r="H124" s="21" t="inlineStr">
        <is>
          <t>Commission</t>
        </is>
      </c>
      <c r="I124" s="21" t="inlineStr">
        <is>
          <t>Amount</t>
        </is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20.25" customHeight="1">
      <c r="A125" s="21" t="n">
        <v>20</v>
      </c>
      <c r="B125" s="21" t="n">
        <v>500000</v>
      </c>
      <c r="C125" s="21" t="n">
        <v>0</v>
      </c>
      <c r="D125" s="21" t="n">
        <v>25000</v>
      </c>
      <c r="E125" s="2" t="n"/>
      <c r="F125" s="21" t="n">
        <v>20</v>
      </c>
      <c r="G125" s="21" t="n">
        <v>1000000</v>
      </c>
      <c r="H125" s="21" t="n">
        <v>0</v>
      </c>
      <c r="I125" s="21" t="n">
        <v>50000</v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20.25" customHeight="1">
      <c r="A126" s="21" t="n">
        <v>9</v>
      </c>
      <c r="B126" s="21" t="n">
        <v>2000000</v>
      </c>
      <c r="C126" s="21" t="n">
        <v>7000</v>
      </c>
      <c r="D126" s="21" t="n">
        <v>93000</v>
      </c>
      <c r="E126" s="2" t="n"/>
      <c r="F126" s="21" t="n">
        <v>14</v>
      </c>
      <c r="G126" s="21" t="n">
        <v>500000</v>
      </c>
      <c r="H126" s="21" t="n">
        <v>900</v>
      </c>
      <c r="I126" s="21" t="n">
        <v>24100</v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20.25" customHeight="1">
      <c r="A127" s="21" t="n"/>
      <c r="B127" s="21" t="n"/>
      <c r="C127" s="21" t="n"/>
      <c r="D127" s="21" t="n"/>
      <c r="E127" s="2" t="n"/>
      <c r="F127" s="21" t="n">
        <v>14</v>
      </c>
      <c r="G127" s="21" t="n">
        <v>500000</v>
      </c>
      <c r="H127" s="21" t="n">
        <v>900</v>
      </c>
      <c r="I127" s="21" t="n">
        <v>24100</v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20.25" customHeight="1">
      <c r="A128" s="21" t="n"/>
      <c r="B128" s="21" t="n"/>
      <c r="C128" s="21" t="n"/>
      <c r="D128" s="21" t="n"/>
      <c r="E128" s="2" t="n"/>
      <c r="F128" s="21" t="inlineStr">
        <is>
          <t>4.1</t>
        </is>
      </c>
      <c r="G128" s="21" t="n">
        <v>1000000</v>
      </c>
      <c r="H128" s="21" t="n">
        <v>7700</v>
      </c>
      <c r="I128" s="21" t="n">
        <v>42300</v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20.25" customHeight="1">
      <c r="A129" s="21" t="n"/>
      <c r="B129" s="21" t="n"/>
      <c r="C129" s="21" t="n"/>
      <c r="D129" s="21" t="n"/>
      <c r="E129" s="2" t="n"/>
      <c r="F129" s="21" t="n">
        <v>4</v>
      </c>
      <c r="G129" s="21" t="n">
        <v>500000</v>
      </c>
      <c r="H129" s="21" t="n">
        <v>3250</v>
      </c>
      <c r="I129" s="21" t="n">
        <v>21750</v>
      </c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20.25" customHeight="1">
      <c r="A130" s="21" t="inlineStr">
        <is>
          <t>Total Payable</t>
        </is>
      </c>
      <c r="B130" s="21" t="n"/>
      <c r="C130" s="21" t="n"/>
      <c r="D130" s="21" t="n">
        <v>118000</v>
      </c>
      <c r="E130" s="2" t="n"/>
      <c r="F130" s="21" t="inlineStr">
        <is>
          <t>Total Payable</t>
        </is>
      </c>
      <c r="I130" s="21" t="n">
        <v>162250</v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6.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20.25" customHeight="1">
      <c r="A132" s="21" t="inlineStr">
        <is>
          <t>Name</t>
        </is>
      </c>
      <c r="B132" s="21" t="inlineStr">
        <is>
          <t>BHUNDARAMJI</t>
        </is>
      </c>
      <c r="C132" s="21" t="inlineStr">
        <is>
          <t>MIYAPUR</t>
        </is>
      </c>
      <c r="D132" s="21" t="inlineStr">
        <is>
          <t>2026-01-04</t>
        </is>
      </c>
      <c r="E132" s="2" t="n"/>
      <c r="F132" s="21" t="inlineStr">
        <is>
          <t>Name</t>
        </is>
      </c>
      <c r="G132" s="21" t="inlineStr">
        <is>
          <t>MOHANJI</t>
        </is>
      </c>
      <c r="H132" s="21" t="inlineStr">
        <is>
          <t>NARSAPUR</t>
        </is>
      </c>
      <c r="I132" s="21" t="inlineStr">
        <is>
          <t>2026-01-04</t>
        </is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20.25" customHeight="1">
      <c r="A133" s="21" t="inlineStr">
        <is>
          <t>Month</t>
        </is>
      </c>
      <c r="B133" s="21" t="inlineStr">
        <is>
          <t>Plan</t>
        </is>
      </c>
      <c r="C133" s="21" t="inlineStr">
        <is>
          <t>Commission</t>
        </is>
      </c>
      <c r="D133" s="21" t="inlineStr">
        <is>
          <t>Amount</t>
        </is>
      </c>
      <c r="E133" s="2" t="n"/>
      <c r="F133" s="21" t="inlineStr">
        <is>
          <t>Month</t>
        </is>
      </c>
      <c r="G133" s="21" t="inlineStr">
        <is>
          <t>Plan</t>
        </is>
      </c>
      <c r="H133" s="21" t="inlineStr">
        <is>
          <t>Commission</t>
        </is>
      </c>
      <c r="I133" s="21" t="inlineStr">
        <is>
          <t>Amount</t>
        </is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20.25" customHeight="1">
      <c r="A134" s="21" t="n">
        <v>20</v>
      </c>
      <c r="B134" s="21" t="n">
        <v>500000</v>
      </c>
      <c r="C134" s="21" t="n">
        <v>0</v>
      </c>
      <c r="D134" s="21" t="n">
        <v>25000</v>
      </c>
      <c r="E134" s="2" t="n"/>
      <c r="F134" s="21" t="n">
        <v>20</v>
      </c>
      <c r="G134" s="21" t="n">
        <v>500000</v>
      </c>
      <c r="H134" s="21" t="n">
        <v>0</v>
      </c>
      <c r="I134" s="21" t="n">
        <v>25000</v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20.25" customHeight="1">
      <c r="A135" s="21" t="n">
        <v>4</v>
      </c>
      <c r="B135" s="21" t="n">
        <v>1000000</v>
      </c>
      <c r="C135" s="21" t="n">
        <v>7750</v>
      </c>
      <c r="D135" s="21" t="n">
        <v>42250</v>
      </c>
      <c r="E135" s="2" t="n"/>
      <c r="F135" s="21" t="n"/>
      <c r="G135" s="21" t="n"/>
      <c r="H135" s="21" t="n"/>
      <c r="I135" s="2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20.25" customHeight="1">
      <c r="A136" s="21" t="n"/>
      <c r="B136" s="21" t="n"/>
      <c r="C136" s="21" t="n"/>
      <c r="D136" s="21" t="n"/>
      <c r="E136" s="2" t="n"/>
      <c r="F136" s="21" t="n"/>
      <c r="G136" s="21" t="n"/>
      <c r="H136" s="21" t="n"/>
      <c r="I136" s="2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20.25" customHeight="1">
      <c r="A137" s="21" t="n"/>
      <c r="B137" s="21" t="n"/>
      <c r="C137" s="21" t="n"/>
      <c r="D137" s="21" t="n"/>
      <c r="E137" s="2" t="n"/>
      <c r="F137" s="21" t="n"/>
      <c r="G137" s="21" t="n"/>
      <c r="H137" s="21" t="n"/>
      <c r="I137" s="2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20.25" customHeight="1">
      <c r="A138" s="21" t="n"/>
      <c r="B138" s="21" t="n"/>
      <c r="C138" s="21" t="n"/>
      <c r="D138" s="21" t="n"/>
      <c r="E138" s="2" t="n"/>
      <c r="F138" s="21" t="n"/>
      <c r="G138" s="21" t="n"/>
      <c r="H138" s="21" t="n"/>
      <c r="I138" s="2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20.25" customHeight="1">
      <c r="A139" s="21" t="inlineStr">
        <is>
          <t>Total Payable</t>
        </is>
      </c>
      <c r="B139" s="21" t="n"/>
      <c r="C139" s="21" t="n"/>
      <c r="D139" s="21" t="n">
        <v>67250</v>
      </c>
      <c r="E139" s="2" t="n"/>
      <c r="F139" s="21" t="inlineStr">
        <is>
          <t>Total Payable</t>
        </is>
      </c>
      <c r="I139" s="21" t="n">
        <v>25000</v>
      </c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6.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20.25" customHeight="1">
      <c r="A141" s="21" t="inlineStr">
        <is>
          <t>Name</t>
        </is>
      </c>
      <c r="B141" s="21" t="inlineStr">
        <is>
          <t>POKARJI</t>
        </is>
      </c>
      <c r="C141" s="21" t="inlineStr">
        <is>
          <t>J GUTTA</t>
        </is>
      </c>
      <c r="D141" s="21" t="inlineStr">
        <is>
          <t>2026-01-04</t>
        </is>
      </c>
      <c r="E141" s="2" t="n"/>
      <c r="F141" s="15" t="inlineStr">
        <is>
          <t>NAME</t>
        </is>
      </c>
      <c r="G141" s="15" t="inlineStr">
        <is>
          <t>VAJJARAMJI</t>
        </is>
      </c>
      <c r="H141" s="15" t="inlineStr">
        <is>
          <t>RING ROAD</t>
        </is>
      </c>
      <c r="I141" s="21" t="inlineStr">
        <is>
          <t>2026-01-04</t>
        </is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20.25" customHeight="1">
      <c r="A142" s="21" t="inlineStr">
        <is>
          <t>Month</t>
        </is>
      </c>
      <c r="B142" s="21" t="inlineStr">
        <is>
          <t>Plan</t>
        </is>
      </c>
      <c r="C142" s="21" t="inlineStr">
        <is>
          <t>Commission</t>
        </is>
      </c>
      <c r="D142" s="21" t="inlineStr">
        <is>
          <t>Amount</t>
        </is>
      </c>
      <c r="E142" s="2" t="n"/>
      <c r="F142" s="21" t="inlineStr">
        <is>
          <t>Month</t>
        </is>
      </c>
      <c r="G142" s="21" t="inlineStr">
        <is>
          <t>Plan</t>
        </is>
      </c>
      <c r="H142" s="21" t="inlineStr">
        <is>
          <t>Commission</t>
        </is>
      </c>
      <c r="I142" s="21" t="inlineStr">
        <is>
          <t>Amount</t>
        </is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20.25" customHeight="1">
      <c r="A143" s="21" t="n">
        <v>20</v>
      </c>
      <c r="B143" s="21" t="n">
        <v>500000</v>
      </c>
      <c r="C143" s="21" t="n">
        <v>0</v>
      </c>
      <c r="D143" s="21" t="n">
        <v>25000</v>
      </c>
      <c r="E143" s="2" t="n"/>
      <c r="F143" s="21" t="n">
        <v>4</v>
      </c>
      <c r="G143" s="21" t="n">
        <v>1000000</v>
      </c>
      <c r="H143" s="21" t="n">
        <v>7750</v>
      </c>
      <c r="I143" s="21" t="n">
        <v>42250</v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20.25" customHeight="1">
      <c r="A144" s="21" t="n">
        <v>14</v>
      </c>
      <c r="B144" s="21" t="n">
        <v>500000</v>
      </c>
      <c r="C144" s="21" t="n">
        <v>900</v>
      </c>
      <c r="D144" s="21" t="n">
        <v>24100</v>
      </c>
      <c r="E144" s="2" t="n"/>
      <c r="F144" s="21" t="inlineStr">
        <is>
          <t>4.1</t>
        </is>
      </c>
      <c r="G144" s="21" t="n">
        <v>1000000</v>
      </c>
      <c r="H144" s="21" t="n">
        <v>7700</v>
      </c>
      <c r="I144" s="21" t="n">
        <v>42300</v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20.25" customHeight="1">
      <c r="A145" s="21" t="n">
        <v>17</v>
      </c>
      <c r="B145" s="21" t="n">
        <v>500000</v>
      </c>
      <c r="C145" s="21" t="n">
        <v>400</v>
      </c>
      <c r="D145" s="21" t="n">
        <v>24600</v>
      </c>
      <c r="E145" s="2" t="n"/>
      <c r="F145" s="21" t="n"/>
      <c r="G145" s="21" t="n"/>
      <c r="H145" s="21" t="n"/>
      <c r="I145" s="2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20.25" customHeight="1">
      <c r="A146" s="21" t="n">
        <v>4</v>
      </c>
      <c r="B146" s="21" t="n">
        <v>1000000</v>
      </c>
      <c r="C146" s="21" t="n">
        <v>7750</v>
      </c>
      <c r="D146" s="21" t="n">
        <v>42250</v>
      </c>
      <c r="E146" s="2" t="n"/>
      <c r="F146" s="21" t="n"/>
      <c r="G146" s="21" t="n"/>
      <c r="H146" s="21" t="n"/>
      <c r="I146" s="2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20.25" customHeight="1">
      <c r="A147" s="21" t="n"/>
      <c r="B147" s="21" t="n"/>
      <c r="C147" s="21" t="n"/>
      <c r="D147" s="21" t="n"/>
      <c r="E147" s="2" t="n"/>
      <c r="F147" s="21" t="n"/>
      <c r="G147" s="21" t="n"/>
      <c r="H147" s="21" t="n"/>
      <c r="I147" s="2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20.25" customHeight="1">
      <c r="A148" s="21" t="inlineStr">
        <is>
          <t>Total Payable</t>
        </is>
      </c>
      <c r="B148" s="21" t="n"/>
      <c r="C148" s="21" t="n"/>
      <c r="D148" s="21" t="n">
        <v>115950</v>
      </c>
      <c r="E148" s="2" t="n"/>
      <c r="F148" s="21" t="inlineStr">
        <is>
          <t>Total Payable</t>
        </is>
      </c>
      <c r="I148" s="21" t="n">
        <v>84550</v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20.25" customHeight="1">
      <c r="A149" s="2" t="n"/>
      <c r="B149" s="2" t="n"/>
      <c r="C149" s="2" t="n"/>
      <c r="D149" s="2" t="n"/>
      <c r="E149" s="2" t="n"/>
      <c r="F149" s="21" t="n"/>
      <c r="G149" s="21" t="n"/>
      <c r="H149" s="21" t="n"/>
      <c r="I149" s="2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20.25" customHeight="1">
      <c r="A150" s="21" t="inlineStr">
        <is>
          <t>Name</t>
        </is>
      </c>
      <c r="B150" s="21" t="inlineStr">
        <is>
          <t>UDARAMJI</t>
        </is>
      </c>
      <c r="C150" s="21" t="inlineStr">
        <is>
          <t>CHINTAL</t>
        </is>
      </c>
      <c r="D150" s="21" t="inlineStr">
        <is>
          <t>2026-01-04</t>
        </is>
      </c>
      <c r="E150" s="2" t="n"/>
      <c r="F150" s="21" t="inlineStr">
        <is>
          <t>Name</t>
        </is>
      </c>
      <c r="G150" s="21" t="inlineStr">
        <is>
          <t>SUMERSINGHJI</t>
        </is>
      </c>
      <c r="H150" s="21" t="inlineStr">
        <is>
          <t>KU PALLY</t>
        </is>
      </c>
      <c r="I150" s="21" t="inlineStr">
        <is>
          <t>2026-01-04</t>
        </is>
      </c>
      <c r="J150" s="2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20.25" customHeight="1">
      <c r="A151" s="21" t="inlineStr">
        <is>
          <t>Month</t>
        </is>
      </c>
      <c r="B151" s="21" t="inlineStr">
        <is>
          <t>Plan</t>
        </is>
      </c>
      <c r="C151" s="21" t="inlineStr">
        <is>
          <t>Commission</t>
        </is>
      </c>
      <c r="D151" s="21" t="inlineStr">
        <is>
          <t>Amount</t>
        </is>
      </c>
      <c r="E151" s="2" t="n"/>
      <c r="F151" s="21" t="inlineStr">
        <is>
          <t>Month</t>
        </is>
      </c>
      <c r="G151" s="21" t="inlineStr">
        <is>
          <t>Plan</t>
        </is>
      </c>
      <c r="H151" s="21" t="inlineStr">
        <is>
          <t>Commission</t>
        </is>
      </c>
      <c r="I151" s="21" t="inlineStr">
        <is>
          <t>Amount</t>
        </is>
      </c>
      <c r="J151" s="3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20.25" customHeight="1">
      <c r="A152" s="21" t="n">
        <v>4</v>
      </c>
      <c r="B152" s="21" t="n">
        <v>500000</v>
      </c>
      <c r="C152" s="21" t="n">
        <v>3250</v>
      </c>
      <c r="D152" s="21" t="n">
        <v>21750</v>
      </c>
      <c r="E152" s="21" t="n"/>
      <c r="F152" s="21" t="n">
        <v>20</v>
      </c>
      <c r="G152" s="21" t="n">
        <v>500000</v>
      </c>
      <c r="H152" s="21" t="n">
        <v>0</v>
      </c>
      <c r="I152" s="21" t="n">
        <v>25000</v>
      </c>
      <c r="J152" s="1" t="n"/>
      <c r="K152" s="21" t="n"/>
      <c r="L152" s="21" t="n"/>
      <c r="M152" s="2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20.25" customHeight="1">
      <c r="A153" s="21" t="n"/>
      <c r="B153" s="21" t="n"/>
      <c r="C153" s="21" t="n"/>
      <c r="D153" s="21" t="n"/>
      <c r="E153" s="2" t="n"/>
      <c r="F153" s="21" t="n">
        <v>17</v>
      </c>
      <c r="G153" s="21" t="n">
        <v>500000</v>
      </c>
      <c r="H153" s="21" t="n">
        <v>400</v>
      </c>
      <c r="I153" s="21" t="n">
        <v>24600</v>
      </c>
      <c r="J153" s="1" t="n"/>
      <c r="K153" s="3" t="n"/>
      <c r="L153" s="3" t="n"/>
      <c r="M153" s="3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20.25" customHeight="1">
      <c r="A154" s="21" t="n"/>
      <c r="B154" s="21" t="n"/>
      <c r="C154" s="21" t="n"/>
      <c r="D154" s="21" t="n"/>
      <c r="E154" s="2" t="n"/>
      <c r="F154" s="21" t="n">
        <v>4</v>
      </c>
      <c r="G154" s="21" t="n">
        <v>1000000</v>
      </c>
      <c r="H154" s="21" t="n">
        <v>7750</v>
      </c>
      <c r="I154" s="21" t="n">
        <v>42250</v>
      </c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20.25" customHeight="1">
      <c r="A155" s="21" t="n"/>
      <c r="B155" s="21" t="n"/>
      <c r="C155" s="21" t="n"/>
      <c r="D155" s="21" t="n"/>
      <c r="E155" s="2" t="n"/>
      <c r="F155" s="21" t="n"/>
      <c r="G155" s="21" t="n"/>
      <c r="H155" s="21" t="n"/>
      <c r="I155" s="2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20.25" customHeight="1">
      <c r="A156" s="21" t="n"/>
      <c r="B156" s="21" t="n"/>
      <c r="C156" s="21" t="n"/>
      <c r="D156" s="21" t="n"/>
      <c r="E156" s="2" t="n"/>
      <c r="F156" s="21" t="n"/>
      <c r="G156" s="21" t="n"/>
      <c r="H156" s="21" t="n"/>
      <c r="I156" s="2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20.25" customHeight="1">
      <c r="A157" s="21" t="inlineStr">
        <is>
          <t>Total Payable</t>
        </is>
      </c>
      <c r="B157" s="21" t="n"/>
      <c r="C157" s="21" t="n"/>
      <c r="D157" s="21" t="n">
        <v>21750</v>
      </c>
      <c r="E157" s="2" t="n"/>
      <c r="F157" s="21" t="inlineStr">
        <is>
          <t>Total Payable</t>
        </is>
      </c>
      <c r="I157" s="21" t="n">
        <v>91850</v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6.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20.25" customHeight="1">
      <c r="A159" s="21" t="inlineStr">
        <is>
          <t>Name</t>
        </is>
      </c>
      <c r="B159" s="21" t="inlineStr">
        <is>
          <t>HARISINGHJI</t>
        </is>
      </c>
      <c r="C159" s="21" t="inlineStr">
        <is>
          <t>RAMARAM</t>
        </is>
      </c>
      <c r="D159" s="21" t="inlineStr">
        <is>
          <t>2026-01-04</t>
        </is>
      </c>
      <c r="E159" s="2" t="n"/>
      <c r="F159" s="21" t="inlineStr">
        <is>
          <t>Name</t>
        </is>
      </c>
      <c r="G159" s="21" t="inlineStr">
        <is>
          <t>MANGILALJI</t>
        </is>
      </c>
      <c r="H159" s="21" t="inlineStr">
        <is>
          <t>MALLAPUR</t>
        </is>
      </c>
      <c r="I159" s="21" t="inlineStr">
        <is>
          <t>2026-01-04</t>
        </is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20.25" customHeight="1">
      <c r="A160" s="21" t="inlineStr">
        <is>
          <t>Month</t>
        </is>
      </c>
      <c r="B160" s="21" t="inlineStr">
        <is>
          <t>Plan</t>
        </is>
      </c>
      <c r="C160" s="21" t="inlineStr">
        <is>
          <t>Commission</t>
        </is>
      </c>
      <c r="D160" s="21" t="inlineStr">
        <is>
          <t>Amount</t>
        </is>
      </c>
      <c r="E160" s="2" t="n"/>
      <c r="F160" s="21" t="inlineStr">
        <is>
          <t>Month</t>
        </is>
      </c>
      <c r="G160" s="21" t="inlineStr">
        <is>
          <t>Plan</t>
        </is>
      </c>
      <c r="H160" s="21" t="inlineStr">
        <is>
          <t>Commission</t>
        </is>
      </c>
      <c r="I160" s="21" t="inlineStr">
        <is>
          <t>Amount</t>
        </is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20.25" customHeight="1">
      <c r="A161" s="21" t="inlineStr">
        <is>
          <t>20.1</t>
        </is>
      </c>
      <c r="B161" s="21" t="n">
        <v>1000000</v>
      </c>
      <c r="C161" s="21" t="n">
        <v>0</v>
      </c>
      <c r="D161" s="21" t="n">
        <v>50000</v>
      </c>
      <c r="E161" s="2" t="n"/>
      <c r="F161" s="21" t="inlineStr">
        <is>
          <t>20.1</t>
        </is>
      </c>
      <c r="G161" s="21" t="n">
        <v>1000000</v>
      </c>
      <c r="H161" s="21" t="n">
        <v>0</v>
      </c>
      <c r="I161" s="21" t="n">
        <v>50000</v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20.25" customHeight="1">
      <c r="A162" s="21" t="n"/>
      <c r="B162" s="21" t="n"/>
      <c r="C162" s="21" t="n"/>
      <c r="D162" s="21" t="n"/>
      <c r="E162" s="2" t="n"/>
      <c r="F162" s="21" t="n"/>
      <c r="G162" s="21" t="n"/>
      <c r="H162" s="21" t="n"/>
      <c r="I162" s="2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20.25" customHeight="1">
      <c r="A163" s="21" t="n"/>
      <c r="B163" s="21" t="n"/>
      <c r="C163" s="21" t="n"/>
      <c r="D163" s="21" t="n"/>
      <c r="E163" s="2" t="n"/>
      <c r="F163" s="21" t="n"/>
      <c r="G163" s="21" t="n"/>
      <c r="H163" s="21" t="n"/>
      <c r="I163" s="2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20.25" customHeight="1">
      <c r="A164" s="21" t="n"/>
      <c r="B164" s="21" t="n"/>
      <c r="C164" s="21" t="n"/>
      <c r="D164" s="21" t="n"/>
      <c r="E164" s="2" t="n"/>
      <c r="F164" s="21" t="n"/>
      <c r="G164" s="21" t="n"/>
      <c r="H164" s="21" t="n"/>
      <c r="I164" s="2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20.25" customHeight="1">
      <c r="A165" s="21" t="n"/>
      <c r="B165" s="21" t="n"/>
      <c r="C165" s="21" t="n"/>
      <c r="D165" s="21" t="n"/>
      <c r="E165" s="2" t="n"/>
      <c r="F165" s="21" t="n"/>
      <c r="G165" s="21" t="n"/>
      <c r="H165" s="21" t="n"/>
      <c r="I165" s="2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20.25" customHeight="1">
      <c r="A166" s="21" t="inlineStr">
        <is>
          <t>Total Payable</t>
        </is>
      </c>
      <c r="B166" s="21" t="n"/>
      <c r="C166" s="21" t="n"/>
      <c r="D166" s="21" t="n">
        <v>50000</v>
      </c>
      <c r="E166" s="2" t="n"/>
      <c r="F166" s="21" t="inlineStr">
        <is>
          <t>Total Payable</t>
        </is>
      </c>
      <c r="I166" s="21" t="n">
        <v>50000</v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6.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20.25" customHeight="1">
      <c r="A168" s="21" t="inlineStr">
        <is>
          <t>Name</t>
        </is>
      </c>
      <c r="B168" s="21" t="inlineStr">
        <is>
          <t>BHORARAMJI</t>
        </is>
      </c>
      <c r="C168" s="21" t="inlineStr">
        <is>
          <t>MIYAPUR</t>
        </is>
      </c>
      <c r="D168" s="21" t="inlineStr">
        <is>
          <t>2026-01-04</t>
        </is>
      </c>
      <c r="E168" s="2" t="n"/>
      <c r="F168" s="21" t="inlineStr">
        <is>
          <t>Name</t>
        </is>
      </c>
      <c r="G168" s="21" t="inlineStr">
        <is>
          <t>TARARAMJI</t>
        </is>
      </c>
      <c r="H168" s="21" t="inlineStr">
        <is>
          <t>SURARAM</t>
        </is>
      </c>
      <c r="I168" s="21" t="inlineStr">
        <is>
          <t>2026-01-04</t>
        </is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20.25" customHeight="1">
      <c r="A169" s="21" t="inlineStr">
        <is>
          <t>Month</t>
        </is>
      </c>
      <c r="B169" s="21" t="inlineStr">
        <is>
          <t>Plan</t>
        </is>
      </c>
      <c r="C169" s="21" t="inlineStr">
        <is>
          <t>Commission</t>
        </is>
      </c>
      <c r="D169" s="21" t="inlineStr">
        <is>
          <t>Amount</t>
        </is>
      </c>
      <c r="E169" s="2" t="n"/>
      <c r="F169" s="21" t="inlineStr">
        <is>
          <t>Month</t>
        </is>
      </c>
      <c r="G169" s="21" t="inlineStr">
        <is>
          <t>Plan</t>
        </is>
      </c>
      <c r="H169" s="21" t="inlineStr">
        <is>
          <t>Commission</t>
        </is>
      </c>
      <c r="I169" s="21" t="inlineStr">
        <is>
          <t>Amount</t>
        </is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20.25" customHeight="1">
      <c r="A170" s="21" t="inlineStr">
        <is>
          <t>20.1</t>
        </is>
      </c>
      <c r="B170" s="21" t="n">
        <v>1000000</v>
      </c>
      <c r="C170" s="21" t="n">
        <v>0</v>
      </c>
      <c r="D170" s="21" t="n">
        <v>50000</v>
      </c>
      <c r="E170" s="2" t="inlineStr">
        <is>
          <t>.</t>
        </is>
      </c>
      <c r="F170" s="21" t="n">
        <v>20</v>
      </c>
      <c r="G170" s="21" t="n">
        <v>1000000</v>
      </c>
      <c r="H170" s="21" t="n">
        <v>0</v>
      </c>
      <c r="I170" s="21" t="n">
        <v>50000</v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20.25" customHeight="1">
      <c r="A171" s="21" t="n">
        <v>9</v>
      </c>
      <c r="B171" s="21" t="n">
        <v>1000000</v>
      </c>
      <c r="C171" s="21" t="n">
        <v>3250</v>
      </c>
      <c r="D171" s="21" t="n">
        <v>46750</v>
      </c>
      <c r="E171" s="2" t="n"/>
      <c r="F171" s="21" t="n">
        <v>14</v>
      </c>
      <c r="G171" s="21" t="n">
        <v>500000</v>
      </c>
      <c r="H171" s="21" t="n">
        <v>900</v>
      </c>
      <c r="I171" s="21" t="n">
        <v>24100</v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20.25" customHeight="1">
      <c r="A172" s="21" t="n">
        <v>9</v>
      </c>
      <c r="B172" s="21" t="n">
        <v>1000000</v>
      </c>
      <c r="C172" s="21" t="n">
        <v>3250</v>
      </c>
      <c r="D172" s="21" t="n">
        <v>46750</v>
      </c>
      <c r="E172" s="2" t="n"/>
      <c r="F172" s="21" t="n"/>
      <c r="G172" s="21" t="n"/>
      <c r="H172" s="21" t="n"/>
      <c r="I172" s="2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20.25" customHeight="1">
      <c r="A173" s="21" t="n"/>
      <c r="B173" s="21" t="n"/>
      <c r="C173" s="21" t="n"/>
      <c r="D173" s="21" t="n"/>
      <c r="E173" s="2" t="n"/>
      <c r="F173" s="21" t="n"/>
      <c r="G173" s="21" t="n"/>
      <c r="H173" s="21" t="n"/>
      <c r="I173" s="2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20.25" customHeight="1">
      <c r="A174" s="21" t="n"/>
      <c r="B174" s="21" t="n"/>
      <c r="C174" s="21" t="n"/>
      <c r="D174" s="21" t="n"/>
      <c r="E174" s="2" t="n"/>
      <c r="F174" s="21" t="n"/>
      <c r="G174" s="21" t="n"/>
      <c r="H174" s="21" t="n"/>
      <c r="I174" s="2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20.25" customHeight="1">
      <c r="A175" s="21" t="inlineStr">
        <is>
          <t>Total Payable</t>
        </is>
      </c>
      <c r="B175" s="21" t="n"/>
      <c r="C175" s="21" t="n"/>
      <c r="D175" s="21" t="n">
        <v>143500</v>
      </c>
      <c r="E175" s="2" t="n"/>
      <c r="F175" s="21" t="inlineStr">
        <is>
          <t>Total Payable</t>
        </is>
      </c>
      <c r="I175" s="21" t="n">
        <v>74100</v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6.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20.25" customHeight="1">
      <c r="A177" s="21" t="inlineStr">
        <is>
          <t>Name</t>
        </is>
      </c>
      <c r="B177" s="21" t="inlineStr">
        <is>
          <t>MADARAMJI</t>
        </is>
      </c>
      <c r="C177" s="21" t="inlineStr">
        <is>
          <t>SHAPUR</t>
        </is>
      </c>
      <c r="D177" s="21" t="inlineStr">
        <is>
          <t>2026-01-04</t>
        </is>
      </c>
      <c r="E177" s="2" t="n"/>
      <c r="F177" s="21" t="inlineStr">
        <is>
          <t>Name</t>
        </is>
      </c>
      <c r="G177" s="21" t="inlineStr">
        <is>
          <t>KUKARAMJI</t>
        </is>
      </c>
      <c r="H177" s="21" t="inlineStr">
        <is>
          <t>J GUTTA</t>
        </is>
      </c>
      <c r="I177" s="21" t="inlineStr">
        <is>
          <t>2026-01-04</t>
        </is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20.25" customHeight="1">
      <c r="A178" s="21" t="inlineStr">
        <is>
          <t>Month</t>
        </is>
      </c>
      <c r="B178" s="21" t="inlineStr">
        <is>
          <t>Plan</t>
        </is>
      </c>
      <c r="C178" s="21" t="inlineStr">
        <is>
          <t>Commission</t>
        </is>
      </c>
      <c r="D178" s="21" t="inlineStr">
        <is>
          <t>Amount</t>
        </is>
      </c>
      <c r="E178" s="2" t="n"/>
      <c r="F178" s="21" t="inlineStr">
        <is>
          <t>Month</t>
        </is>
      </c>
      <c r="G178" s="21" t="inlineStr">
        <is>
          <t>Plan</t>
        </is>
      </c>
      <c r="H178" s="21" t="inlineStr">
        <is>
          <t>Commission</t>
        </is>
      </c>
      <c r="I178" s="21" t="inlineStr">
        <is>
          <t>Amount</t>
        </is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20.25" customHeight="1">
      <c r="A179" s="21" t="n">
        <v>9</v>
      </c>
      <c r="B179" s="21" t="n">
        <v>2000000</v>
      </c>
      <c r="C179" s="21" t="n">
        <v>7000</v>
      </c>
      <c r="D179" s="21" t="n">
        <v>93000</v>
      </c>
      <c r="E179" s="2" t="n"/>
      <c r="F179" s="21" t="inlineStr">
        <is>
          <t>20.1</t>
        </is>
      </c>
      <c r="G179" s="21" t="n">
        <v>1000000</v>
      </c>
      <c r="H179" s="21" t="n">
        <v>0</v>
      </c>
      <c r="I179" s="21" t="n">
        <v>50000</v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20.25" customHeight="1">
      <c r="A180" s="21" t="n">
        <v>17</v>
      </c>
      <c r="B180" s="21" t="n">
        <v>500000</v>
      </c>
      <c r="C180" s="21" t="n">
        <v>400</v>
      </c>
      <c r="D180" s="21" t="n">
        <v>24600</v>
      </c>
      <c r="E180" s="2" t="n"/>
      <c r="F180" s="21" t="n"/>
      <c r="G180" s="21" t="n"/>
      <c r="H180" s="21" t="n"/>
      <c r="I180" s="2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20.25" customHeight="1">
      <c r="A181" s="21" t="n"/>
      <c r="B181" s="21" t="n"/>
      <c r="C181" s="21" t="n"/>
      <c r="D181" s="21" t="n"/>
      <c r="E181" s="2" t="n"/>
      <c r="F181" s="21" t="n"/>
      <c r="G181" s="21" t="n"/>
      <c r="H181" s="21" t="n"/>
      <c r="I181" s="2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20.25" customHeight="1">
      <c r="A182" s="21" t="n"/>
      <c r="B182" s="21" t="n"/>
      <c r="C182" s="21" t="n"/>
      <c r="D182" s="21" t="n"/>
      <c r="E182" s="2" t="n"/>
      <c r="F182" s="21" t="n"/>
      <c r="G182" s="21" t="n"/>
      <c r="H182" s="21" t="n"/>
      <c r="I182" s="2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20.25" customHeight="1">
      <c r="A183" s="21" t="n"/>
      <c r="B183" s="21" t="n"/>
      <c r="C183" s="21" t="n"/>
      <c r="D183" s="21" t="n"/>
      <c r="E183" s="2" t="n"/>
      <c r="F183" s="21" t="n"/>
      <c r="G183" s="21" t="n"/>
      <c r="H183" s="21" t="n"/>
      <c r="I183" s="2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20.25" customHeight="1">
      <c r="A184" s="21" t="inlineStr">
        <is>
          <t>Total Payable</t>
        </is>
      </c>
      <c r="B184" s="21" t="n"/>
      <c r="C184" s="21" t="n"/>
      <c r="D184" s="21" t="n">
        <v>117600</v>
      </c>
      <c r="E184" s="2" t="n"/>
      <c r="F184" s="21" t="inlineStr">
        <is>
          <t>Total Payable</t>
        </is>
      </c>
      <c r="I184" s="21" t="n">
        <v>50000</v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6.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20.25" customHeight="1">
      <c r="A186" s="14" t="inlineStr">
        <is>
          <t>NAME</t>
        </is>
      </c>
      <c r="B186" s="14" t="inlineStr">
        <is>
          <t>GENARAMJI</t>
        </is>
      </c>
      <c r="C186" s="14" t="inlineStr">
        <is>
          <t>J GUTTA</t>
        </is>
      </c>
      <c r="D186" s="21" t="inlineStr">
        <is>
          <t>2026-01-04</t>
        </is>
      </c>
      <c r="E186" s="2" t="n"/>
      <c r="F186" s="21" t="inlineStr">
        <is>
          <t>Name</t>
        </is>
      </c>
      <c r="G186" s="21" t="inlineStr">
        <is>
          <t>NARENDRAJI</t>
        </is>
      </c>
      <c r="H186" s="21" t="inlineStr">
        <is>
          <t>SACHINJI</t>
        </is>
      </c>
      <c r="I186" s="21" t="inlineStr">
        <is>
          <t>2026-01-04</t>
        </is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20.25" customHeight="1">
      <c r="A187" s="21" t="inlineStr">
        <is>
          <t>MONTH</t>
        </is>
      </c>
      <c r="B187" s="21" t="inlineStr">
        <is>
          <t>PLAN</t>
        </is>
      </c>
      <c r="C187" s="21" t="inlineStr">
        <is>
          <t>C MMISSION</t>
        </is>
      </c>
      <c r="D187" s="21" t="inlineStr">
        <is>
          <t>Amount</t>
        </is>
      </c>
      <c r="E187" s="2" t="n"/>
      <c r="F187" s="21" t="inlineStr">
        <is>
          <t>Month</t>
        </is>
      </c>
      <c r="G187" s="21" t="inlineStr">
        <is>
          <t>Plan</t>
        </is>
      </c>
      <c r="H187" s="21" t="inlineStr">
        <is>
          <t>Commission</t>
        </is>
      </c>
      <c r="I187" s="21" t="inlineStr">
        <is>
          <t>Amount</t>
        </is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20.25" customHeight="1">
      <c r="A188" s="21" t="n">
        <v>4</v>
      </c>
      <c r="B188" s="21" t="n">
        <v>1000000</v>
      </c>
      <c r="C188" s="21" t="n">
        <v>7750</v>
      </c>
      <c r="D188" s="21" t="n">
        <v>42250</v>
      </c>
      <c r="E188" s="2" t="n"/>
      <c r="F188" s="21" t="inlineStr">
        <is>
          <t>20.1</t>
        </is>
      </c>
      <c r="G188" s="21" t="n">
        <v>500000</v>
      </c>
      <c r="H188" s="21" t="n">
        <v>0</v>
      </c>
      <c r="I188" s="21" t="n">
        <v>25000</v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20.25" customHeight="1">
      <c r="A189" s="21" t="inlineStr">
        <is>
          <t>20.1</t>
        </is>
      </c>
      <c r="B189" s="21" t="n">
        <v>1000000</v>
      </c>
      <c r="C189" s="21" t="n">
        <v>0</v>
      </c>
      <c r="D189" s="21" t="n">
        <v>50000</v>
      </c>
      <c r="E189" s="2" t="n"/>
      <c r="F189" s="21" t="n"/>
      <c r="G189" s="21" t="n"/>
      <c r="H189" s="21" t="n"/>
      <c r="I189" s="2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20.25" customHeight="1">
      <c r="A190" s="21" t="n"/>
      <c r="B190" s="21" t="n"/>
      <c r="C190" s="21" t="n"/>
      <c r="D190" s="21" t="n"/>
      <c r="E190" s="2" t="n"/>
      <c r="F190" s="21" t="n"/>
      <c r="G190" s="21" t="n"/>
      <c r="H190" s="21" t="n"/>
      <c r="I190" s="2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20.25" customHeight="1">
      <c r="A191" s="21" t="n"/>
      <c r="B191" s="21" t="n"/>
      <c r="C191" s="21" t="n"/>
      <c r="D191" s="21" t="n"/>
      <c r="E191" s="2" t="n"/>
      <c r="F191" s="21" t="n"/>
      <c r="G191" s="21" t="n"/>
      <c r="H191" s="21" t="n"/>
      <c r="I191" s="2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20.25" customHeight="1">
      <c r="A192" s="21" t="n"/>
      <c r="B192" s="21" t="n"/>
      <c r="C192" s="21" t="n"/>
      <c r="D192" s="21" t="n"/>
      <c r="E192" s="2" t="n"/>
      <c r="F192" s="21" t="n"/>
      <c r="G192" s="21" t="n"/>
      <c r="H192" s="21" t="n"/>
      <c r="I192" s="2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20.25" customHeight="1">
      <c r="A193" s="21" t="inlineStr">
        <is>
          <t>Total Payable</t>
        </is>
      </c>
      <c r="B193" s="21" t="n"/>
      <c r="C193" s="21" t="n"/>
      <c r="D193" s="21" t="n">
        <v>92250</v>
      </c>
      <c r="E193" s="2" t="n"/>
      <c r="F193" s="21" t="inlineStr">
        <is>
          <t>Total Payable</t>
        </is>
      </c>
      <c r="I193" s="21" t="n">
        <v>25000</v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6.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20.25" customHeight="1">
      <c r="A195" s="21" t="inlineStr">
        <is>
          <t>Name</t>
        </is>
      </c>
      <c r="B195" s="21" t="inlineStr">
        <is>
          <t>HONARAMJI</t>
        </is>
      </c>
      <c r="C195" s="21" t="inlineStr">
        <is>
          <t>RAMARAM</t>
        </is>
      </c>
      <c r="D195" s="21" t="inlineStr">
        <is>
          <t>2026-01-04</t>
        </is>
      </c>
      <c r="E195" s="2" t="n"/>
      <c r="F195" s="21" t="inlineStr">
        <is>
          <t>Name</t>
        </is>
      </c>
      <c r="G195" s="21" t="inlineStr">
        <is>
          <t>MEHNDARJI</t>
        </is>
      </c>
      <c r="H195" s="21" t="inlineStr">
        <is>
          <t>SR NGR</t>
        </is>
      </c>
      <c r="I195" s="21" t="inlineStr">
        <is>
          <t>2026-01-04</t>
        </is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20.25" customHeight="1">
      <c r="A196" s="21" t="inlineStr">
        <is>
          <t>Month</t>
        </is>
      </c>
      <c r="B196" s="21" t="inlineStr">
        <is>
          <t>Plan</t>
        </is>
      </c>
      <c r="C196" s="21" t="inlineStr">
        <is>
          <t>Commission</t>
        </is>
      </c>
      <c r="D196" s="21" t="inlineStr">
        <is>
          <t>Amount</t>
        </is>
      </c>
      <c r="E196" s="2" t="n"/>
      <c r="F196" s="21" t="inlineStr">
        <is>
          <t>Month</t>
        </is>
      </c>
      <c r="G196" s="21" t="inlineStr">
        <is>
          <t>Plan</t>
        </is>
      </c>
      <c r="H196" s="21" t="inlineStr">
        <is>
          <t>Commission</t>
        </is>
      </c>
      <c r="I196" s="21" t="inlineStr">
        <is>
          <t>Amount</t>
        </is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20.25" customHeight="1">
      <c r="A197" s="21" t="inlineStr">
        <is>
          <t>20.1</t>
        </is>
      </c>
      <c r="B197" s="21" t="n">
        <v>1000000</v>
      </c>
      <c r="C197" s="21" t="n">
        <v>0</v>
      </c>
      <c r="D197" s="21" t="n">
        <v>50000</v>
      </c>
      <c r="E197" s="2" t="n"/>
      <c r="F197" s="21" t="n">
        <v>20</v>
      </c>
      <c r="G197" s="21" t="n">
        <v>1000000</v>
      </c>
      <c r="H197" s="21" t="n">
        <v>0</v>
      </c>
      <c r="I197" s="21" t="n">
        <v>50000</v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20.25" customHeight="1">
      <c r="A198" s="21" t="n">
        <v>9</v>
      </c>
      <c r="B198" s="21" t="n">
        <v>1000000</v>
      </c>
      <c r="C198" s="21" t="n">
        <v>3250</v>
      </c>
      <c r="D198" s="21" t="n">
        <v>46750</v>
      </c>
      <c r="E198" s="2" t="n"/>
      <c r="F198" s="21" t="n"/>
      <c r="G198" s="21" t="n"/>
      <c r="H198" s="21" t="n"/>
      <c r="I198" s="2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20.25" customHeight="1">
      <c r="A199" s="21" t="n"/>
      <c r="B199" s="21" t="n"/>
      <c r="C199" s="21" t="n"/>
      <c r="D199" s="21" t="n"/>
      <c r="E199" s="2" t="n"/>
      <c r="F199" s="21" t="n"/>
      <c r="G199" s="21" t="n"/>
      <c r="H199" s="21" t="n"/>
      <c r="I199" s="2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20.25" customHeight="1">
      <c r="A200" s="21" t="n"/>
      <c r="B200" s="21" t="n"/>
      <c r="C200" s="21" t="n"/>
      <c r="D200" s="21" t="n"/>
      <c r="E200" s="2" t="n"/>
      <c r="F200" s="21" t="n"/>
      <c r="G200" s="21" t="n"/>
      <c r="H200" s="21" t="n"/>
      <c r="I200" s="2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0.25" customHeight="1">
      <c r="A201" s="21" t="n"/>
      <c r="B201" s="21" t="n"/>
      <c r="C201" s="21" t="n"/>
      <c r="D201" s="21" t="n"/>
      <c r="E201" s="2" t="n"/>
      <c r="F201" s="21" t="n"/>
      <c r="G201" s="21" t="n"/>
      <c r="H201" s="21" t="n"/>
      <c r="I201" s="2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20.25" customHeight="1">
      <c r="A202" s="21" t="inlineStr">
        <is>
          <t>Total Payable</t>
        </is>
      </c>
      <c r="B202" s="21" t="n"/>
      <c r="C202" s="21" t="n"/>
      <c r="D202" s="21" t="n">
        <v>96750</v>
      </c>
      <c r="E202" s="2" t="n"/>
      <c r="F202" s="21" t="inlineStr">
        <is>
          <t>Total Payable</t>
        </is>
      </c>
      <c r="I202" s="21" t="n">
        <v>50000</v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6.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20.25" customHeight="1">
      <c r="A204" s="14" t="inlineStr">
        <is>
          <t>NAME</t>
        </is>
      </c>
      <c r="B204" s="14" t="inlineStr">
        <is>
          <t>KAILASHJI</t>
        </is>
      </c>
      <c r="C204" s="14" t="inlineStr">
        <is>
          <t>SHIVAMPET</t>
        </is>
      </c>
      <c r="D204" s="21" t="inlineStr">
        <is>
          <t>2026-01-04</t>
        </is>
      </c>
      <c r="F204" s="14" t="inlineStr">
        <is>
          <t>NAME</t>
        </is>
      </c>
      <c r="G204" s="14" t="inlineStr">
        <is>
          <t>SOHANJI GUJAR</t>
        </is>
      </c>
      <c r="H204" s="14" t="inlineStr">
        <is>
          <t>R R NGR</t>
        </is>
      </c>
      <c r="I204" s="21" t="inlineStr">
        <is>
          <t>2026-01-04</t>
        </is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20.25" customHeight="1">
      <c r="A205" s="21" t="inlineStr">
        <is>
          <t>Month</t>
        </is>
      </c>
      <c r="B205" s="21" t="inlineStr">
        <is>
          <t>Plan</t>
        </is>
      </c>
      <c r="C205" s="21" t="inlineStr">
        <is>
          <t>Commission</t>
        </is>
      </c>
      <c r="D205" s="21" t="inlineStr">
        <is>
          <t>Amount</t>
        </is>
      </c>
      <c r="F205" s="21" t="inlineStr">
        <is>
          <t>Month</t>
        </is>
      </c>
      <c r="G205" s="21" t="inlineStr">
        <is>
          <t>PLAN</t>
        </is>
      </c>
      <c r="H205" s="21" t="inlineStr">
        <is>
          <t>Commission</t>
        </is>
      </c>
      <c r="I205" s="21" t="inlineStr">
        <is>
          <t>Amount</t>
        </is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20.25" customHeight="1">
      <c r="A206" s="21" t="n">
        <v>20</v>
      </c>
      <c r="B206" s="21" t="n">
        <v>1000000</v>
      </c>
      <c r="C206" s="21" t="n">
        <v>0</v>
      </c>
      <c r="D206" s="21" t="n">
        <v>50000</v>
      </c>
      <c r="F206" s="21" t="inlineStr">
        <is>
          <t>4.1</t>
        </is>
      </c>
      <c r="G206" s="21" t="n">
        <v>1000000</v>
      </c>
      <c r="H206" s="21" t="n">
        <v>7700</v>
      </c>
      <c r="I206" s="21" t="n">
        <v>42300</v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20.25" customHeight="1">
      <c r="A207" s="21" t="inlineStr">
        <is>
          <t>20.1</t>
        </is>
      </c>
      <c r="B207" s="21" t="n">
        <v>1000000</v>
      </c>
      <c r="C207" s="21" t="n">
        <v>0</v>
      </c>
      <c r="D207" s="21" t="n">
        <v>50000</v>
      </c>
      <c r="F207" s="21" t="n">
        <v>9</v>
      </c>
      <c r="G207" s="21" t="n">
        <v>1000000</v>
      </c>
      <c r="H207" s="21" t="n">
        <v>3250</v>
      </c>
      <c r="I207" s="21" t="n">
        <v>46750</v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20.25" customHeight="1">
      <c r="A208" s="21" t="n"/>
      <c r="B208" s="21" t="n"/>
      <c r="C208" s="21" t="n"/>
      <c r="D208" s="21" t="n"/>
      <c r="E208" s="2" t="n"/>
      <c r="F208" s="21" t="n"/>
      <c r="G208" s="21" t="n"/>
      <c r="H208" s="21" t="n"/>
      <c r="I208" s="2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20.25" customHeight="1">
      <c r="A209" s="21" t="n"/>
      <c r="B209" s="21" t="n"/>
      <c r="C209" s="21" t="n"/>
      <c r="D209" s="21" t="n"/>
      <c r="E209" s="2" t="n"/>
      <c r="F209" s="21" t="n"/>
      <c r="G209" s="21" t="n"/>
      <c r="H209" s="21" t="n"/>
      <c r="I209" s="2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20.25" customHeight="1">
      <c r="A210" s="21" t="n"/>
      <c r="B210" s="21" t="n"/>
      <c r="C210" s="21" t="n"/>
      <c r="D210" s="21" t="n"/>
      <c r="E210" s="2" t="n"/>
      <c r="F210" s="21" t="n"/>
      <c r="G210" s="21" t="n"/>
      <c r="H210" s="21" t="n"/>
      <c r="I210" s="2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20.25" customHeight="1">
      <c r="A211" s="21" t="inlineStr">
        <is>
          <t>Total Payable</t>
        </is>
      </c>
      <c r="B211" s="21" t="n"/>
      <c r="C211" s="21" t="n"/>
      <c r="D211" s="21" t="n">
        <v>100000</v>
      </c>
      <c r="E211" s="2" t="n"/>
      <c r="F211" s="21" t="inlineStr">
        <is>
          <t>Total Payable</t>
        </is>
      </c>
      <c r="I211" s="21" t="n">
        <v>89050</v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6.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20.25" customHeight="1">
      <c r="A213" s="21" t="n"/>
      <c r="B213" s="21" t="n"/>
      <c r="C213" s="21" t="n"/>
      <c r="D213" s="21" t="n"/>
      <c r="E213" s="2" t="n"/>
      <c r="F213" s="21" t="inlineStr">
        <is>
          <t>Name</t>
        </is>
      </c>
      <c r="G213" s="21" t="inlineStr">
        <is>
          <t>RAMESHJI</t>
        </is>
      </c>
      <c r="H213" s="21" t="inlineStr">
        <is>
          <t>RR NAGAR</t>
        </is>
      </c>
      <c r="I213" s="21" t="inlineStr">
        <is>
          <t>2026-01-04</t>
        </is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20.25" customHeight="1">
      <c r="A214" s="21" t="n"/>
      <c r="B214" s="21" t="n"/>
      <c r="C214" s="21" t="n"/>
      <c r="D214" s="21" t="n"/>
      <c r="E214" s="2" t="n"/>
      <c r="F214" s="21" t="inlineStr">
        <is>
          <t>Month</t>
        </is>
      </c>
      <c r="G214" s="21" t="inlineStr">
        <is>
          <t>Plan</t>
        </is>
      </c>
      <c r="H214" s="21" t="inlineStr">
        <is>
          <t>Commission</t>
        </is>
      </c>
      <c r="I214" s="21" t="inlineStr">
        <is>
          <t>Amount</t>
        </is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20.25" customHeight="1">
      <c r="A215" s="21" t="n"/>
      <c r="B215" s="21" t="n"/>
      <c r="C215" s="21" t="n"/>
      <c r="D215" s="21" t="n"/>
      <c r="E215" s="2" t="n"/>
      <c r="F215" s="21" t="n">
        <v>4</v>
      </c>
      <c r="G215" s="21" t="n">
        <v>500000</v>
      </c>
      <c r="H215" s="21" t="n">
        <v>3250</v>
      </c>
      <c r="I215" s="21" t="n">
        <v>21750</v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20.25" customHeight="1">
      <c r="A216" s="21" t="n"/>
      <c r="B216" s="21" t="n"/>
      <c r="C216" s="21" t="n"/>
      <c r="D216" s="21" t="n"/>
      <c r="E216" s="2" t="n"/>
      <c r="F216" s="21" t="n">
        <v>17</v>
      </c>
      <c r="G216" s="21" t="n">
        <v>500000</v>
      </c>
      <c r="H216" s="21" t="n">
        <v>400</v>
      </c>
      <c r="I216" s="21" t="n">
        <v>24600</v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20.25" customHeight="1">
      <c r="A217" s="21" t="n"/>
      <c r="B217" s="21" t="n"/>
      <c r="C217" s="21" t="n"/>
      <c r="D217" s="21" t="n"/>
      <c r="E217" s="2" t="n"/>
      <c r="F217" s="21" t="n"/>
      <c r="G217" s="21" t="n"/>
      <c r="H217" s="21" t="n"/>
      <c r="I217" s="21" t="n"/>
      <c r="J217" s="22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20.25" customHeight="1">
      <c r="A218" s="21" t="n"/>
      <c r="B218" s="21" t="n"/>
      <c r="C218" s="21" t="n"/>
      <c r="D218" s="21" t="n"/>
      <c r="E218" s="2" t="n"/>
      <c r="F218" s="21" t="n"/>
      <c r="G218" s="21" t="n"/>
      <c r="H218" s="21" t="n"/>
      <c r="I218" s="2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20.25" customHeight="1">
      <c r="A219" s="21" t="n"/>
      <c r="B219" s="21" t="n"/>
      <c r="C219" s="21" t="n"/>
      <c r="D219" s="21" t="n"/>
      <c r="E219" s="2" t="n"/>
      <c r="F219" s="21" t="n"/>
      <c r="G219" s="21" t="n"/>
      <c r="H219" s="21" t="n"/>
      <c r="I219" s="2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20.25" customHeight="1">
      <c r="A220" s="21" t="n"/>
      <c r="B220" s="21" t="n"/>
      <c r="C220" s="21" t="n"/>
      <c r="D220" s="21" t="n"/>
      <c r="E220" s="2" t="n"/>
      <c r="F220" s="21" t="inlineStr">
        <is>
          <t>Total Payable</t>
        </is>
      </c>
      <c r="I220" s="21" t="n">
        <v>46350</v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6.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20.25" customHeight="1">
      <c r="A222" s="21" t="inlineStr">
        <is>
          <t>Name</t>
        </is>
      </c>
      <c r="B222" s="21" t="inlineStr">
        <is>
          <t>GENARAMJI</t>
        </is>
      </c>
      <c r="C222" s="21" t="inlineStr">
        <is>
          <t>RAMARAM</t>
        </is>
      </c>
      <c r="D222" s="21" t="inlineStr">
        <is>
          <t>2026-01-04</t>
        </is>
      </c>
      <c r="E222" s="2" t="n"/>
      <c r="F222" s="21" t="inlineStr">
        <is>
          <t>Name</t>
        </is>
      </c>
      <c r="G222" s="21" t="inlineStr">
        <is>
          <t>JAGDISHJI</t>
        </is>
      </c>
      <c r="H222" s="21" t="inlineStr">
        <is>
          <t>PPR NGR</t>
        </is>
      </c>
      <c r="I222" s="21" t="inlineStr">
        <is>
          <t>2026-01-04</t>
        </is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20.25" customHeight="1">
      <c r="A223" s="21" t="inlineStr">
        <is>
          <t>Month</t>
        </is>
      </c>
      <c r="B223" s="21" t="inlineStr">
        <is>
          <t>Plan</t>
        </is>
      </c>
      <c r="C223" s="21" t="inlineStr">
        <is>
          <t>Commission</t>
        </is>
      </c>
      <c r="D223" s="21" t="inlineStr">
        <is>
          <t>Amount</t>
        </is>
      </c>
      <c r="E223" s="2" t="n"/>
      <c r="F223" s="21" t="inlineStr">
        <is>
          <t>Month</t>
        </is>
      </c>
      <c r="G223" s="21" t="inlineStr">
        <is>
          <t>Plan</t>
        </is>
      </c>
      <c r="H223" s="21" t="inlineStr">
        <is>
          <t>Commission</t>
        </is>
      </c>
      <c r="I223" s="21" t="inlineStr">
        <is>
          <t>Amount</t>
        </is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20.25" customHeight="1">
      <c r="A224" s="21" t="n">
        <v>14</v>
      </c>
      <c r="B224" s="21" t="n">
        <v>500000</v>
      </c>
      <c r="C224" s="21" t="n">
        <v>900</v>
      </c>
      <c r="D224" s="21" t="n">
        <v>24100</v>
      </c>
      <c r="E224" s="2" t="n"/>
      <c r="F224" s="21" t="n">
        <v>14</v>
      </c>
      <c r="G224" s="21" t="n">
        <v>500000</v>
      </c>
      <c r="H224" s="21" t="n">
        <v>900</v>
      </c>
      <c r="I224" s="21" t="n">
        <v>24100</v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20.25" customHeight="1">
      <c r="A225" s="21" t="n"/>
      <c r="B225" s="21" t="n"/>
      <c r="C225" s="21" t="n"/>
      <c r="D225" s="21" t="n"/>
      <c r="E225" s="2" t="n"/>
      <c r="F225" s="21" t="n"/>
      <c r="G225" s="21" t="n"/>
      <c r="H225" s="21" t="n"/>
      <c r="I225" s="2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20.25" customHeight="1">
      <c r="A226" s="21" t="n"/>
      <c r="B226" s="21" t="n"/>
      <c r="C226" s="21" t="n"/>
      <c r="D226" s="21" t="n"/>
      <c r="E226" s="2" t="n"/>
      <c r="F226" s="21" t="n"/>
      <c r="G226" s="21" t="n"/>
      <c r="H226" s="21" t="n"/>
      <c r="I226" s="2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20.25" customHeight="1">
      <c r="A227" s="21" t="n"/>
      <c r="B227" s="21" t="n"/>
      <c r="C227" s="21" t="n"/>
      <c r="D227" s="21" t="n"/>
      <c r="E227" s="2" t="n"/>
      <c r="F227" s="21" t="n"/>
      <c r="G227" s="21" t="n"/>
      <c r="H227" s="21" t="n"/>
      <c r="I227" s="2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20.25" customHeight="1">
      <c r="A228" s="21" t="n"/>
      <c r="B228" s="21" t="n"/>
      <c r="C228" s="21" t="n"/>
      <c r="D228" s="21" t="n"/>
      <c r="E228" s="2" t="n"/>
      <c r="F228" s="21" t="n"/>
      <c r="G228" s="21" t="n"/>
      <c r="H228" s="21" t="n"/>
      <c r="I228" s="2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20.25" customHeight="1">
      <c r="A229" s="21" t="inlineStr">
        <is>
          <t>Total Payable</t>
        </is>
      </c>
      <c r="B229" s="21" t="n"/>
      <c r="C229" s="21" t="n"/>
      <c r="D229" s="21" t="n">
        <v>24100</v>
      </c>
      <c r="E229" s="2" t="n"/>
      <c r="F229" s="21" t="inlineStr">
        <is>
          <t>Total Payable</t>
        </is>
      </c>
      <c r="I229" s="21" t="n">
        <v>24100</v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6.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20.25" customHeight="1">
      <c r="A231" s="21" t="inlineStr">
        <is>
          <t>Name</t>
        </is>
      </c>
      <c r="B231" s="21" t="inlineStr">
        <is>
          <t>BHUNDARAMJI</t>
        </is>
      </c>
      <c r="C231" s="21" t="inlineStr">
        <is>
          <t>PRAGTI NGR</t>
        </is>
      </c>
      <c r="D231" s="21" t="inlineStr">
        <is>
          <t>2026-01-04</t>
        </is>
      </c>
      <c r="E231" s="2" t="n"/>
      <c r="F231" s="21" t="inlineStr">
        <is>
          <t>Name</t>
        </is>
      </c>
      <c r="G231" s="21" t="inlineStr">
        <is>
          <t>JOGARAMJI</t>
        </is>
      </c>
      <c r="H231" s="21" t="inlineStr">
        <is>
          <t>KU PALLY</t>
        </is>
      </c>
      <c r="I231" s="21" t="inlineStr">
        <is>
          <t>2026-01-04</t>
        </is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20.25" customHeight="1">
      <c r="A232" s="21" t="inlineStr">
        <is>
          <t>Month</t>
        </is>
      </c>
      <c r="B232" s="21" t="inlineStr">
        <is>
          <t>Plan</t>
        </is>
      </c>
      <c r="C232" s="21" t="inlineStr">
        <is>
          <t>Commission</t>
        </is>
      </c>
      <c r="D232" s="21" t="inlineStr">
        <is>
          <t>Amount</t>
        </is>
      </c>
      <c r="E232" s="2" t="n"/>
      <c r="F232" s="21" t="inlineStr">
        <is>
          <t>Month</t>
        </is>
      </c>
      <c r="G232" s="21" t="inlineStr">
        <is>
          <t>Plan</t>
        </is>
      </c>
      <c r="H232" s="21" t="inlineStr">
        <is>
          <t>Commission</t>
        </is>
      </c>
      <c r="I232" s="21" t="inlineStr">
        <is>
          <t>Amount</t>
        </is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20.25" customHeight="1">
      <c r="A233" s="21" t="n">
        <v>9</v>
      </c>
      <c r="B233" s="21" t="n">
        <v>500000</v>
      </c>
      <c r="C233" s="21" t="n">
        <v>2000</v>
      </c>
      <c r="D233" s="21" t="n">
        <v>23000</v>
      </c>
      <c r="E233" s="2" t="n"/>
      <c r="F233" s="21" t="n">
        <v>9</v>
      </c>
      <c r="G233" s="21" t="n">
        <v>2000000</v>
      </c>
      <c r="H233" s="21" t="n">
        <v>7000</v>
      </c>
      <c r="I233" s="21" t="n">
        <v>93000</v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20.25" customHeight="1">
      <c r="A234" s="21" t="n"/>
      <c r="B234" s="21" t="n"/>
      <c r="C234" s="21" t="n"/>
      <c r="D234" s="21" t="n"/>
      <c r="E234" s="2" t="n"/>
      <c r="F234" s="21" t="n"/>
      <c r="G234" s="21" t="n"/>
      <c r="H234" s="21" t="n"/>
      <c r="I234" s="2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20.25" customHeight="1">
      <c r="A235" s="21" t="n"/>
      <c r="B235" s="21" t="n"/>
      <c r="C235" s="21" t="n"/>
      <c r="D235" s="21" t="n"/>
      <c r="E235" s="2" t="n"/>
      <c r="F235" s="21" t="n"/>
      <c r="G235" s="21" t="n"/>
      <c r="H235" s="21" t="n"/>
      <c r="I235" s="2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20.25" customHeight="1">
      <c r="A236" s="21" t="n"/>
      <c r="B236" s="21" t="n"/>
      <c r="C236" s="21" t="n"/>
      <c r="D236" s="21" t="n"/>
      <c r="E236" s="2" t="n"/>
      <c r="F236" s="21" t="n"/>
      <c r="G236" s="21" t="n"/>
      <c r="H236" s="21" t="n"/>
      <c r="I236" s="2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20.25" customHeight="1">
      <c r="A237" s="21" t="n"/>
      <c r="B237" s="21" t="n"/>
      <c r="C237" s="21" t="n"/>
      <c r="D237" s="21" t="n"/>
      <c r="E237" s="2" t="n"/>
      <c r="F237" s="21" t="n"/>
      <c r="G237" s="21" t="n"/>
      <c r="H237" s="21" t="n"/>
      <c r="I237" s="2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20.25" customHeight="1">
      <c r="A238" s="21" t="inlineStr">
        <is>
          <t>Total Payable</t>
        </is>
      </c>
      <c r="B238" s="21" t="n"/>
      <c r="C238" s="21" t="n"/>
      <c r="D238" s="21" t="n">
        <v>23000</v>
      </c>
      <c r="E238" s="2" t="n"/>
      <c r="F238" s="21" t="inlineStr">
        <is>
          <t>Total Payable</t>
        </is>
      </c>
      <c r="I238" s="21" t="n">
        <v>93000</v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6.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20.25" customHeight="1">
      <c r="A240" s="21" t="inlineStr">
        <is>
          <t>Name</t>
        </is>
      </c>
      <c r="B240" s="21" t="inlineStr">
        <is>
          <t>RAMESHJI</t>
        </is>
      </c>
      <c r="C240" s="21" t="inlineStr">
        <is>
          <t>KONDAPUR</t>
        </is>
      </c>
      <c r="D240" s="21" t="inlineStr">
        <is>
          <t>2026-01-04</t>
        </is>
      </c>
      <c r="E240" s="2" t="n"/>
      <c r="F240" s="21" t="inlineStr">
        <is>
          <t>Name</t>
        </is>
      </c>
      <c r="G240" s="21" t="inlineStr">
        <is>
          <t>MANOHARJI</t>
        </is>
      </c>
      <c r="H240" s="21" t="inlineStr">
        <is>
          <t>PAPI REDDY</t>
        </is>
      </c>
      <c r="I240" s="21" t="inlineStr">
        <is>
          <t>2026-01-04</t>
        </is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20.25" customHeight="1">
      <c r="A241" s="21" t="inlineStr">
        <is>
          <t>Month</t>
        </is>
      </c>
      <c r="B241" s="21" t="inlineStr">
        <is>
          <t>Plan</t>
        </is>
      </c>
      <c r="C241" s="21" t="inlineStr">
        <is>
          <t>Commission</t>
        </is>
      </c>
      <c r="D241" s="21" t="inlineStr">
        <is>
          <t>Amount</t>
        </is>
      </c>
      <c r="E241" s="2" t="n"/>
      <c r="F241" s="21" t="inlineStr">
        <is>
          <t>Month</t>
        </is>
      </c>
      <c r="G241" s="21" t="inlineStr">
        <is>
          <t>Plan</t>
        </is>
      </c>
      <c r="H241" s="21" t="inlineStr">
        <is>
          <t>Commission</t>
        </is>
      </c>
      <c r="I241" s="21" t="inlineStr">
        <is>
          <t>Amount</t>
        </is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20.25" customHeight="1">
      <c r="A242" s="21" t="n">
        <v>4</v>
      </c>
      <c r="B242" s="21" t="n">
        <v>500000</v>
      </c>
      <c r="C242" s="21" t="n">
        <v>3250</v>
      </c>
      <c r="D242" s="21" t="n">
        <v>21750</v>
      </c>
      <c r="E242" s="2" t="n"/>
      <c r="F242" s="21" t="n">
        <v>4</v>
      </c>
      <c r="G242" s="21" t="n">
        <v>1000000</v>
      </c>
      <c r="H242" s="21" t="n">
        <v>7750</v>
      </c>
      <c r="I242" s="21" t="n">
        <v>42250</v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20.25" customHeight="1">
      <c r="A243" s="21" t="n">
        <v>4</v>
      </c>
      <c r="B243" s="21" t="n">
        <v>500000</v>
      </c>
      <c r="C243" s="21" t="n">
        <v>3250</v>
      </c>
      <c r="D243" s="21" t="n">
        <v>21750</v>
      </c>
      <c r="E243" s="2" t="n"/>
      <c r="F243" s="21" t="n">
        <v>9</v>
      </c>
      <c r="G243" s="21" t="n">
        <v>2000000</v>
      </c>
      <c r="H243" s="21" t="n">
        <v>7000</v>
      </c>
      <c r="I243" s="21" t="n">
        <v>93000</v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20.25" customHeight="1">
      <c r="A244" s="21" t="n"/>
      <c r="B244" s="21" t="n"/>
      <c r="C244" s="21" t="n"/>
      <c r="D244" s="21" t="n"/>
      <c r="E244" s="2" t="n"/>
      <c r="F244" s="21" t="n">
        <v>17</v>
      </c>
      <c r="G244" s="21" t="n">
        <v>500000</v>
      </c>
      <c r="H244" s="21" t="n">
        <v>400</v>
      </c>
      <c r="I244" s="21" t="n">
        <v>24600</v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20.25" customHeight="1">
      <c r="A245" s="21" t="n"/>
      <c r="B245" s="21" t="n"/>
      <c r="C245" s="21" t="n"/>
      <c r="D245" s="21" t="n"/>
      <c r="E245" s="2" t="n"/>
      <c r="F245" s="21" t="n">
        <v>17</v>
      </c>
      <c r="G245" s="21" t="n">
        <v>500000</v>
      </c>
      <c r="H245" s="21" t="n">
        <v>400</v>
      </c>
      <c r="I245" s="21" t="n">
        <v>24600</v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20.25" customHeight="1">
      <c r="A246" s="21" t="n"/>
      <c r="B246" s="21" t="n"/>
      <c r="C246" s="21" t="n"/>
      <c r="D246" s="21" t="n"/>
      <c r="E246" s="2" t="n"/>
      <c r="F246" s="21" t="inlineStr">
        <is>
          <t>4.1</t>
        </is>
      </c>
      <c r="G246" s="21" t="n">
        <v>1000000</v>
      </c>
      <c r="H246" s="21" t="n">
        <v>7700</v>
      </c>
      <c r="I246" s="21" t="n">
        <v>42300</v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20.25" customHeight="1">
      <c r="A247" s="21" t="inlineStr">
        <is>
          <t>Total Payable</t>
        </is>
      </c>
      <c r="B247" s="21" t="n"/>
      <c r="C247" s="21" t="n"/>
      <c r="D247" s="21" t="n">
        <v>43500</v>
      </c>
      <c r="E247" s="2" t="n"/>
      <c r="F247" s="21" t="inlineStr">
        <is>
          <t>Total Payable</t>
        </is>
      </c>
      <c r="I247" s="21" t="n">
        <v>226750</v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6.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20.25" customHeight="1">
      <c r="A249" s="21" t="inlineStr">
        <is>
          <t>Name</t>
        </is>
      </c>
      <c r="B249" s="21" t="inlineStr">
        <is>
          <t>OMJI</t>
        </is>
      </c>
      <c r="C249" s="21" t="inlineStr">
        <is>
          <t>IDPL</t>
        </is>
      </c>
      <c r="D249" s="21" t="inlineStr">
        <is>
          <t>2026-01-04</t>
        </is>
      </c>
      <c r="E249" s="2" t="n"/>
      <c r="F249" s="21" t="inlineStr">
        <is>
          <t>Name</t>
        </is>
      </c>
      <c r="G249" s="21" t="inlineStr">
        <is>
          <t>KISHANJI(1)</t>
        </is>
      </c>
      <c r="H249" s="21" t="inlineStr">
        <is>
          <t>KAMMAN</t>
        </is>
      </c>
      <c r="I249" s="21" t="inlineStr">
        <is>
          <t>2026-01-04</t>
        </is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20.25" customHeight="1">
      <c r="A250" s="21" t="inlineStr">
        <is>
          <t>Month</t>
        </is>
      </c>
      <c r="B250" s="21" t="inlineStr">
        <is>
          <t>Plan</t>
        </is>
      </c>
      <c r="C250" s="21" t="inlineStr">
        <is>
          <t>Commission</t>
        </is>
      </c>
      <c r="D250" s="21" t="inlineStr">
        <is>
          <t>Amount</t>
        </is>
      </c>
      <c r="E250" s="2" t="n"/>
      <c r="F250" s="21" t="inlineStr">
        <is>
          <t>Month</t>
        </is>
      </c>
      <c r="G250" s="21" t="inlineStr">
        <is>
          <t>Plan</t>
        </is>
      </c>
      <c r="H250" s="21" t="inlineStr">
        <is>
          <t>Commission</t>
        </is>
      </c>
      <c r="I250" s="21" t="inlineStr">
        <is>
          <t>Amount</t>
        </is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20.25" customHeight="1">
      <c r="A251" s="21" t="n">
        <v>4</v>
      </c>
      <c r="B251" s="21" t="n">
        <v>1000000</v>
      </c>
      <c r="C251" s="21" t="n">
        <v>7750</v>
      </c>
      <c r="D251" s="21" t="n">
        <v>42250</v>
      </c>
      <c r="E251" s="2" t="n"/>
      <c r="F251" s="21" t="n">
        <v>14</v>
      </c>
      <c r="G251" s="21" t="n">
        <v>500000</v>
      </c>
      <c r="H251" s="21" t="n">
        <v>900</v>
      </c>
      <c r="I251" s="21" t="n">
        <v>24100</v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20.25" customHeight="1">
      <c r="A252" s="21" t="inlineStr">
        <is>
          <t>4.1</t>
        </is>
      </c>
      <c r="B252" s="21" t="n">
        <v>1000000</v>
      </c>
      <c r="C252" s="21" t="n">
        <v>7700</v>
      </c>
      <c r="D252" s="21" t="n">
        <v>42300</v>
      </c>
      <c r="E252" s="2" t="n"/>
      <c r="F252" s="21" t="n"/>
      <c r="G252" s="21" t="n"/>
      <c r="H252" s="21" t="n"/>
      <c r="I252" s="2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20.25" customHeight="1">
      <c r="A253" s="21" t="n"/>
      <c r="B253" s="21" t="n"/>
      <c r="C253" s="21" t="n"/>
      <c r="D253" s="21" t="n"/>
      <c r="E253" s="2" t="n"/>
      <c r="F253" s="21" t="n"/>
      <c r="G253" s="21" t="n"/>
      <c r="H253" s="21" t="n"/>
      <c r="I253" s="2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20.25" customHeight="1">
      <c r="A254" s="21" t="n"/>
      <c r="B254" s="21" t="n"/>
      <c r="C254" s="21" t="n"/>
      <c r="D254" s="21" t="n"/>
      <c r="E254" s="2" t="n"/>
      <c r="F254" s="21" t="n"/>
      <c r="G254" s="21" t="n"/>
      <c r="H254" s="21" t="n"/>
      <c r="I254" s="2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20.25" customHeight="1">
      <c r="A255" s="21" t="n"/>
      <c r="B255" s="21" t="n"/>
      <c r="C255" s="21" t="n"/>
      <c r="D255" s="21" t="n"/>
      <c r="E255" s="2" t="n"/>
      <c r="F255" s="21" t="n"/>
      <c r="G255" s="21" t="n"/>
      <c r="H255" s="21" t="n"/>
      <c r="I255" s="2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20.25" customHeight="1">
      <c r="A256" s="21" t="inlineStr">
        <is>
          <t>Total Payable</t>
        </is>
      </c>
      <c r="B256" s="21" t="n"/>
      <c r="C256" s="21" t="n"/>
      <c r="D256" s="21" t="n">
        <v>84550</v>
      </c>
      <c r="E256" s="2" t="n"/>
      <c r="F256" s="21" t="inlineStr">
        <is>
          <t>Total Payable</t>
        </is>
      </c>
      <c r="I256" s="21" t="n">
        <v>24100</v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6.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20.25" customHeight="1">
      <c r="A258" s="21" t="inlineStr">
        <is>
          <t>Name</t>
        </is>
      </c>
      <c r="B258" s="21" t="inlineStr">
        <is>
          <t>HEMARAMJI</t>
        </is>
      </c>
      <c r="C258" s="21" t="inlineStr">
        <is>
          <t>YAMJAL</t>
        </is>
      </c>
      <c r="D258" s="21" t="inlineStr">
        <is>
          <t>2026-01-04</t>
        </is>
      </c>
      <c r="E258" s="2" t="n"/>
      <c r="F258" s="21" t="inlineStr">
        <is>
          <t>Name</t>
        </is>
      </c>
      <c r="G258" s="21" t="inlineStr">
        <is>
          <t>SURENDER</t>
        </is>
      </c>
      <c r="H258" s="21" t="inlineStr">
        <is>
          <t>P R NGR</t>
        </is>
      </c>
      <c r="I258" s="21" t="inlineStr">
        <is>
          <t>2026-01-04</t>
        </is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20.25" customHeight="1">
      <c r="A259" s="21" t="inlineStr">
        <is>
          <t>Month</t>
        </is>
      </c>
      <c r="B259" s="21" t="inlineStr">
        <is>
          <t>Plan</t>
        </is>
      </c>
      <c r="C259" s="21" t="inlineStr">
        <is>
          <t>Commission</t>
        </is>
      </c>
      <c r="D259" s="21" t="inlineStr">
        <is>
          <t>Amount</t>
        </is>
      </c>
      <c r="E259" s="2" t="n"/>
      <c r="F259" s="21" t="inlineStr">
        <is>
          <t>Month</t>
        </is>
      </c>
      <c r="G259" s="21" t="inlineStr">
        <is>
          <t>Plan</t>
        </is>
      </c>
      <c r="H259" s="21" t="inlineStr">
        <is>
          <t>Commission</t>
        </is>
      </c>
      <c r="I259" s="21" t="inlineStr">
        <is>
          <t>Amount</t>
        </is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20.25" customHeight="1">
      <c r="A260" s="21" t="n">
        <v>20</v>
      </c>
      <c r="B260" s="21" t="n">
        <v>500000</v>
      </c>
      <c r="C260" s="21" t="n">
        <v>0</v>
      </c>
      <c r="D260" s="21" t="n">
        <v>25000</v>
      </c>
      <c r="E260" s="2" t="n"/>
      <c r="F260" s="21" t="n">
        <v>4</v>
      </c>
      <c r="G260" s="21" t="n">
        <v>500000</v>
      </c>
      <c r="H260" s="21" t="n">
        <v>3250</v>
      </c>
      <c r="I260" s="21" t="n">
        <v>21750</v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20.25" customHeight="1">
      <c r="A261" s="21" t="n">
        <v>9</v>
      </c>
      <c r="B261" s="21" t="n">
        <v>1000000</v>
      </c>
      <c r="C261" s="21" t="n">
        <v>3250</v>
      </c>
      <c r="D261" s="21" t="n">
        <v>46750</v>
      </c>
      <c r="E261" s="2" t="n"/>
      <c r="F261" s="21" t="n">
        <v>4</v>
      </c>
      <c r="G261" s="21" t="n">
        <v>500000</v>
      </c>
      <c r="H261" s="21" t="n">
        <v>3250</v>
      </c>
      <c r="I261" s="21" t="n">
        <v>21750</v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20.25" customHeight="1">
      <c r="A262" s="21" t="n"/>
      <c r="B262" s="21" t="n"/>
      <c r="C262" s="21" t="n"/>
      <c r="D262" s="21" t="n"/>
      <c r="E262" s="2" t="n"/>
      <c r="F262" s="21" t="n"/>
      <c r="G262" s="21" t="n"/>
      <c r="H262" s="21" t="n"/>
      <c r="I262" s="2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20.25" customHeight="1">
      <c r="A263" s="21" t="n"/>
      <c r="B263" s="21" t="n"/>
      <c r="C263" s="21" t="n"/>
      <c r="D263" s="21" t="n"/>
      <c r="E263" s="2" t="n"/>
      <c r="F263" s="21" t="n"/>
      <c r="G263" s="21" t="n"/>
      <c r="H263" s="21" t="n"/>
      <c r="I263" s="2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20.25" customHeight="1">
      <c r="A264" s="21" t="n"/>
      <c r="B264" s="21" t="n"/>
      <c r="C264" s="21" t="n"/>
      <c r="D264" s="21" t="n"/>
      <c r="E264" s="2" t="n"/>
      <c r="F264" s="21" t="n"/>
      <c r="G264" s="21" t="n"/>
      <c r="H264" s="21" t="n"/>
      <c r="I264" s="2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20.25" customHeight="1">
      <c r="A265" s="21" t="inlineStr">
        <is>
          <t>Total Payable</t>
        </is>
      </c>
      <c r="B265" s="21" t="n"/>
      <c r="C265" s="21" t="n"/>
      <c r="D265" s="21" t="n">
        <v>71750</v>
      </c>
      <c r="E265" s="2" t="n"/>
      <c r="F265" s="21" t="inlineStr">
        <is>
          <t>Total Payable</t>
        </is>
      </c>
      <c r="I265" s="21" t="n">
        <v>43500</v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6.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20.25" customHeight="1">
      <c r="A267" s="21" t="inlineStr">
        <is>
          <t>Name</t>
        </is>
      </c>
      <c r="B267" s="21" t="inlineStr">
        <is>
          <t>DURGARAMJI</t>
        </is>
      </c>
      <c r="C267" s="21" t="inlineStr">
        <is>
          <t>RAMARAM</t>
        </is>
      </c>
      <c r="D267" s="21" t="inlineStr">
        <is>
          <t>2026-01-04</t>
        </is>
      </c>
      <c r="E267" s="2" t="n"/>
      <c r="F267" s="21" t="inlineStr">
        <is>
          <t>Name</t>
        </is>
      </c>
      <c r="G267" s="21" t="inlineStr">
        <is>
          <t>MANGILALJI</t>
        </is>
      </c>
      <c r="H267" s="21" t="inlineStr">
        <is>
          <t>SURARAM</t>
        </is>
      </c>
      <c r="I267" s="21" t="inlineStr">
        <is>
          <t>2026-01-04</t>
        </is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20.25" customHeight="1">
      <c r="A268" s="21" t="inlineStr">
        <is>
          <t>Month</t>
        </is>
      </c>
      <c r="B268" s="21" t="inlineStr">
        <is>
          <t>Plan</t>
        </is>
      </c>
      <c r="C268" s="21" t="inlineStr">
        <is>
          <t>Commission</t>
        </is>
      </c>
      <c r="D268" s="21" t="inlineStr">
        <is>
          <t>Amount</t>
        </is>
      </c>
      <c r="E268" s="2" t="n"/>
      <c r="F268" s="21" t="inlineStr">
        <is>
          <t>Month</t>
        </is>
      </c>
      <c r="G268" s="21" t="inlineStr">
        <is>
          <t>Plan</t>
        </is>
      </c>
      <c r="H268" s="21" t="inlineStr">
        <is>
          <t>Commission</t>
        </is>
      </c>
      <c r="I268" s="21" t="inlineStr">
        <is>
          <t>Amount</t>
        </is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20.25" customHeight="1">
      <c r="A269" s="21" t="n">
        <v>9</v>
      </c>
      <c r="B269" s="21" t="n">
        <v>500000</v>
      </c>
      <c r="C269" s="21" t="n">
        <v>2000</v>
      </c>
      <c r="D269" s="21" t="n">
        <v>23000</v>
      </c>
      <c r="E269" s="2" t="n"/>
      <c r="F269" s="21" t="n">
        <v>9</v>
      </c>
      <c r="G269" s="21" t="n">
        <v>500000</v>
      </c>
      <c r="H269" s="21" t="n">
        <v>2000</v>
      </c>
      <c r="I269" s="21" t="n">
        <v>23000</v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20.25" customHeight="1">
      <c r="A270" s="21" t="n"/>
      <c r="B270" s="21" t="n"/>
      <c r="C270" s="21" t="n"/>
      <c r="D270" s="21" t="n"/>
      <c r="E270" s="2" t="n"/>
      <c r="F270" s="21" t="n"/>
      <c r="G270" s="21" t="n"/>
      <c r="H270" s="21" t="n"/>
      <c r="I270" s="2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20.25" customHeight="1">
      <c r="A271" s="21" t="n"/>
      <c r="B271" s="21" t="n"/>
      <c r="C271" s="21" t="n"/>
      <c r="D271" s="21" t="n"/>
      <c r="E271" s="2" t="n"/>
      <c r="F271" s="21" t="n"/>
      <c r="G271" s="21" t="n"/>
      <c r="H271" s="21" t="n"/>
      <c r="I271" s="2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20.25" customHeight="1">
      <c r="A272" s="21" t="n"/>
      <c r="B272" s="21" t="n"/>
      <c r="C272" s="21" t="n"/>
      <c r="D272" s="21" t="n"/>
      <c r="E272" s="2" t="n"/>
      <c r="F272" s="21" t="n"/>
      <c r="G272" s="21" t="n"/>
      <c r="H272" s="21" t="n"/>
      <c r="I272" s="2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20.25" customHeight="1">
      <c r="A273" s="21" t="n"/>
      <c r="B273" s="21" t="n"/>
      <c r="C273" s="21" t="n"/>
      <c r="D273" s="21" t="n"/>
      <c r="E273" s="2" t="n"/>
      <c r="F273" s="21" t="n"/>
      <c r="G273" s="21" t="n"/>
      <c r="H273" s="21" t="n"/>
      <c r="I273" s="2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20.25" customHeight="1">
      <c r="A274" s="21" t="inlineStr">
        <is>
          <t>Total Payable</t>
        </is>
      </c>
      <c r="B274" s="21" t="n"/>
      <c r="C274" s="21" t="n"/>
      <c r="D274" s="21" t="n">
        <v>23000</v>
      </c>
      <c r="E274" s="2" t="n"/>
      <c r="F274" s="21" t="inlineStr">
        <is>
          <t>Total Payable</t>
        </is>
      </c>
      <c r="I274" s="21" t="n">
        <v>23000</v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6.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20.25" customHeight="1">
      <c r="A276" s="21" t="inlineStr">
        <is>
          <t>Name</t>
        </is>
      </c>
      <c r="B276" s="21" t="inlineStr">
        <is>
          <t>DHANARAMJI</t>
        </is>
      </c>
      <c r="C276" s="21" t="inlineStr">
        <is>
          <t>KAMAN</t>
        </is>
      </c>
      <c r="D276" s="21" t="inlineStr">
        <is>
          <t>2026-01-04</t>
        </is>
      </c>
      <c r="E276" s="2" t="n"/>
      <c r="F276" s="21" t="inlineStr">
        <is>
          <t>Name</t>
        </is>
      </c>
      <c r="G276" s="21" t="inlineStr">
        <is>
          <t>NARAYANJI</t>
        </is>
      </c>
      <c r="H276" s="21" t="inlineStr">
        <is>
          <t>KAMAN</t>
        </is>
      </c>
      <c r="I276" s="21" t="inlineStr">
        <is>
          <t>2026-01-04</t>
        </is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20.25" customHeight="1">
      <c r="A277" s="21" t="inlineStr">
        <is>
          <t>Month</t>
        </is>
      </c>
      <c r="B277" s="21" t="inlineStr">
        <is>
          <t>Plan</t>
        </is>
      </c>
      <c r="C277" s="21" t="inlineStr">
        <is>
          <t>Commission</t>
        </is>
      </c>
      <c r="D277" s="21" t="inlineStr">
        <is>
          <t>Amount</t>
        </is>
      </c>
      <c r="E277" s="2" t="n"/>
      <c r="F277" s="21" t="inlineStr">
        <is>
          <t>Month</t>
        </is>
      </c>
      <c r="G277" s="21" t="inlineStr">
        <is>
          <t>Plan</t>
        </is>
      </c>
      <c r="H277" s="21" t="inlineStr">
        <is>
          <t>Commission</t>
        </is>
      </c>
      <c r="I277" s="21" t="inlineStr">
        <is>
          <t>Amount</t>
        </is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20.25" customHeight="1">
      <c r="A278" s="21" t="n">
        <v>9</v>
      </c>
      <c r="B278" s="21" t="n">
        <v>1000000</v>
      </c>
      <c r="C278" s="21" t="n">
        <v>3250</v>
      </c>
      <c r="D278" s="21" t="n">
        <v>46750</v>
      </c>
      <c r="E278" s="2" t="n"/>
      <c r="F278" s="21" t="n">
        <v>9</v>
      </c>
      <c r="G278" s="21" t="n">
        <v>1000000</v>
      </c>
      <c r="H278" s="21" t="n">
        <v>3250</v>
      </c>
      <c r="I278" s="21" t="n">
        <v>46750</v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20.25" customHeight="1">
      <c r="A279" s="21" t="n">
        <v>4</v>
      </c>
      <c r="B279" s="21" t="n">
        <v>1000000</v>
      </c>
      <c r="C279" s="21" t="n">
        <v>7750</v>
      </c>
      <c r="D279" s="21" t="n">
        <v>42250</v>
      </c>
      <c r="E279" s="2" t="n"/>
      <c r="F279" s="21" t="n">
        <v>4</v>
      </c>
      <c r="G279" s="21" t="n">
        <v>500000</v>
      </c>
      <c r="H279" s="21" t="n">
        <v>3250</v>
      </c>
      <c r="I279" s="21" t="n">
        <v>21750</v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20.25" customHeight="1">
      <c r="A280" s="21" t="n"/>
      <c r="B280" s="21" t="n"/>
      <c r="C280" s="21" t="n"/>
      <c r="D280" s="21" t="n"/>
      <c r="E280" s="2" t="n"/>
      <c r="F280" s="21" t="n">
        <v>17</v>
      </c>
      <c r="G280" s="21" t="n">
        <v>500000</v>
      </c>
      <c r="H280" s="21" t="n">
        <v>400</v>
      </c>
      <c r="I280" s="21" t="n">
        <v>24600</v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20.25" customHeight="1">
      <c r="A281" s="21" t="n"/>
      <c r="B281" s="21" t="n"/>
      <c r="C281" s="21" t="n"/>
      <c r="D281" s="21" t="n"/>
      <c r="E281" s="2" t="n"/>
      <c r="F281" s="21" t="n">
        <v>17</v>
      </c>
      <c r="G281" s="21" t="n">
        <v>500000</v>
      </c>
      <c r="H281" s="21" t="n">
        <v>400</v>
      </c>
      <c r="I281" s="21" t="n">
        <v>24600</v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20.25" customHeight="1">
      <c r="A282" s="21" t="n"/>
      <c r="B282" s="21" t="n"/>
      <c r="C282" s="21" t="n"/>
      <c r="D282" s="21" t="n"/>
      <c r="E282" s="2" t="n"/>
      <c r="F282" s="21" t="n">
        <v>9</v>
      </c>
      <c r="G282" s="21" t="n">
        <v>1000000</v>
      </c>
      <c r="H282" s="21" t="n">
        <v>3250</v>
      </c>
      <c r="I282" s="21" t="n">
        <v>46750</v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20.25" customHeight="1">
      <c r="A283" s="21" t="n"/>
      <c r="B283" s="21" t="n"/>
      <c r="C283" s="21" t="n"/>
      <c r="D283" s="21" t="n"/>
      <c r="E283" s="2" t="n"/>
      <c r="F283" s="21" t="n">
        <v>14</v>
      </c>
      <c r="G283" s="21" t="n">
        <v>500000</v>
      </c>
      <c r="H283" s="21" t="n">
        <v>900</v>
      </c>
      <c r="I283" s="21" t="n">
        <v>24100</v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20.25" customHeight="1">
      <c r="A284" s="21" t="inlineStr">
        <is>
          <t>Total Payable</t>
        </is>
      </c>
      <c r="B284" s="21" t="n"/>
      <c r="C284" s="21" t="n"/>
      <c r="D284" s="21" t="n">
        <v>89000</v>
      </c>
      <c r="E284" s="2" t="n"/>
      <c r="F284" s="21" t="inlineStr">
        <is>
          <t>Total Payable</t>
        </is>
      </c>
      <c r="I284" s="21" t="n">
        <v>188550</v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20.25" customHeight="1">
      <c r="A285" s="21" t="n"/>
      <c r="B285" s="21" t="n"/>
      <c r="C285" s="21" t="n"/>
      <c r="D285" s="21" t="n"/>
      <c r="E285" s="2" t="n"/>
      <c r="F285" s="2" t="n"/>
      <c r="G285" s="2" t="n"/>
      <c r="H285" s="2" t="n"/>
      <c r="I285" s="2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20.25" customHeight="1">
      <c r="A286" s="14" t="inlineStr">
        <is>
          <t>Name</t>
        </is>
      </c>
      <c r="B286" s="14" t="inlineStr">
        <is>
          <t>KHUSHVIRJI</t>
        </is>
      </c>
      <c r="C286" s="14" t="inlineStr">
        <is>
          <t>MEDCHAL</t>
        </is>
      </c>
      <c r="D286" s="21" t="inlineStr">
        <is>
          <t>2026-01-04</t>
        </is>
      </c>
      <c r="E286" s="2" t="n"/>
      <c r="F286" s="21" t="inlineStr">
        <is>
          <t>Name</t>
        </is>
      </c>
      <c r="G286" s="21" t="inlineStr">
        <is>
          <t>MOHANJI</t>
        </is>
      </c>
      <c r="H286" s="21" t="inlineStr">
        <is>
          <t>J GUTTA</t>
        </is>
      </c>
      <c r="I286" s="21" t="inlineStr">
        <is>
          <t>2026-01-04</t>
        </is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20.25" customHeight="1">
      <c r="A287" s="21" t="inlineStr">
        <is>
          <t>Month</t>
        </is>
      </c>
      <c r="B287" s="21" t="inlineStr">
        <is>
          <t>Plan</t>
        </is>
      </c>
      <c r="C287" s="21" t="inlineStr">
        <is>
          <t>Commission</t>
        </is>
      </c>
      <c r="D287" s="21" t="inlineStr">
        <is>
          <t>Amount</t>
        </is>
      </c>
      <c r="E287" s="2" t="n"/>
      <c r="F287" s="21" t="inlineStr">
        <is>
          <t>Month</t>
        </is>
      </c>
      <c r="G287" s="21" t="inlineStr">
        <is>
          <t>Plan</t>
        </is>
      </c>
      <c r="H287" s="21" t="inlineStr">
        <is>
          <t>Commission</t>
        </is>
      </c>
      <c r="I287" s="21" t="inlineStr">
        <is>
          <t>Amount</t>
        </is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20.25" customHeight="1">
      <c r="A288" s="21" t="n">
        <v>9</v>
      </c>
      <c r="B288" s="21" t="n">
        <v>2000000</v>
      </c>
      <c r="C288" s="21" t="n">
        <v>7000</v>
      </c>
      <c r="D288" s="21" t="n">
        <v>93000</v>
      </c>
      <c r="E288" s="2" t="n"/>
      <c r="F288" s="21" t="n">
        <v>9</v>
      </c>
      <c r="G288" s="21" t="n">
        <v>1000000</v>
      </c>
      <c r="H288" s="21" t="n">
        <v>3250</v>
      </c>
      <c r="I288" s="21" t="n">
        <v>46750</v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20.25" customHeight="1">
      <c r="A289" s="21" t="n">
        <v>9</v>
      </c>
      <c r="B289" s="21" t="n">
        <v>500000</v>
      </c>
      <c r="C289" s="21" t="n">
        <v>2000</v>
      </c>
      <c r="D289" s="21" t="n">
        <v>23000</v>
      </c>
      <c r="E289" s="2" t="n"/>
      <c r="F289" s="21" t="n">
        <v>14</v>
      </c>
      <c r="G289" s="21" t="n">
        <v>500000</v>
      </c>
      <c r="H289" s="21" t="n">
        <v>900</v>
      </c>
      <c r="I289" s="21" t="n">
        <v>24100</v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20.25" customHeight="1">
      <c r="A290" s="21" t="n"/>
      <c r="B290" s="21" t="n"/>
      <c r="C290" s="21" t="n"/>
      <c r="D290" s="21" t="n"/>
      <c r="E290" s="2" t="n"/>
      <c r="F290" s="21" t="n">
        <v>17</v>
      </c>
      <c r="G290" s="21" t="n">
        <v>500000</v>
      </c>
      <c r="H290" s="21" t="n">
        <v>400</v>
      </c>
      <c r="I290" s="21" t="n">
        <v>24600</v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20.25" customHeight="1">
      <c r="A291" s="21" t="n"/>
      <c r="B291" s="21" t="n"/>
      <c r="C291" s="21" t="n"/>
      <c r="D291" s="21" t="n"/>
      <c r="E291" s="2" t="n"/>
      <c r="F291" s="21" t="n">
        <v>17</v>
      </c>
      <c r="G291" s="21" t="n">
        <v>500000</v>
      </c>
      <c r="H291" s="21" t="n">
        <v>400</v>
      </c>
      <c r="I291" s="21" t="n">
        <v>24600</v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20.25" customHeight="1">
      <c r="A292" s="21" t="n"/>
      <c r="B292" s="21" t="n"/>
      <c r="C292" s="21" t="n"/>
      <c r="D292" s="21" t="n"/>
      <c r="E292" s="2" t="n"/>
      <c r="F292" s="21" t="n"/>
      <c r="G292" s="21" t="n"/>
      <c r="H292" s="21" t="n"/>
      <c r="I292" s="2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20.25" customHeight="1">
      <c r="A293" s="14" t="inlineStr">
        <is>
          <t>TOTAL PAYABLE</t>
        </is>
      </c>
      <c r="B293" s="14" t="n"/>
      <c r="C293" s="14" t="n"/>
      <c r="D293" s="21" t="n">
        <v>116000</v>
      </c>
      <c r="E293" s="2" t="n"/>
      <c r="F293" s="21" t="inlineStr">
        <is>
          <t>Total Payable</t>
        </is>
      </c>
      <c r="I293" s="21" t="n">
        <v>120050</v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6.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20.25" customHeight="1">
      <c r="A295" s="21" t="inlineStr">
        <is>
          <t>Name</t>
        </is>
      </c>
      <c r="B295" s="21" t="inlineStr">
        <is>
          <t>MUNJI</t>
        </is>
      </c>
      <c r="C295" s="21" t="inlineStr">
        <is>
          <t>RAMARAM</t>
        </is>
      </c>
      <c r="D295" s="21" t="inlineStr">
        <is>
          <t>2026-01-04</t>
        </is>
      </c>
      <c r="E295" s="2" t="n"/>
      <c r="F295" s="21" t="inlineStr">
        <is>
          <t>Name</t>
        </is>
      </c>
      <c r="G295" s="21" t="inlineStr">
        <is>
          <t>JAIRUPRAMJI</t>
        </is>
      </c>
      <c r="H295" s="21" t="inlineStr">
        <is>
          <t>RMTPUR</t>
        </is>
      </c>
      <c r="I295" s="21" t="inlineStr">
        <is>
          <t>2026-01-04</t>
        </is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20.25" customHeight="1">
      <c r="A296" s="21" t="inlineStr">
        <is>
          <t>Month</t>
        </is>
      </c>
      <c r="B296" s="21" t="inlineStr">
        <is>
          <t>Plan</t>
        </is>
      </c>
      <c r="C296" s="21" t="inlineStr">
        <is>
          <t>Commission</t>
        </is>
      </c>
      <c r="D296" s="21" t="inlineStr">
        <is>
          <t>Amount</t>
        </is>
      </c>
      <c r="E296" s="2" t="n"/>
      <c r="F296" s="21" t="inlineStr">
        <is>
          <t>Month</t>
        </is>
      </c>
      <c r="G296" s="21" t="inlineStr">
        <is>
          <t>Plan</t>
        </is>
      </c>
      <c r="H296" s="21" t="inlineStr">
        <is>
          <t>Commission</t>
        </is>
      </c>
      <c r="I296" s="21" t="inlineStr">
        <is>
          <t>Amount</t>
        </is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20.25" customHeight="1">
      <c r="A297" s="21" t="n">
        <v>9</v>
      </c>
      <c r="B297" s="21" t="n">
        <v>2000000</v>
      </c>
      <c r="C297" s="21" t="n">
        <v>7000</v>
      </c>
      <c r="D297" s="21" t="n">
        <v>93000</v>
      </c>
      <c r="E297" s="2" t="n"/>
      <c r="F297" s="21" t="n">
        <v>9</v>
      </c>
      <c r="G297" s="21" t="n">
        <v>2000000</v>
      </c>
      <c r="H297" s="21" t="n">
        <v>7000</v>
      </c>
      <c r="I297" s="21" t="n">
        <v>93000</v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20.25" customHeight="1">
      <c r="A298" s="21" t="n">
        <v>17</v>
      </c>
      <c r="B298" s="21" t="n">
        <v>500000</v>
      </c>
      <c r="C298" s="21" t="n">
        <v>400</v>
      </c>
      <c r="D298" s="21" t="n">
        <v>24600</v>
      </c>
      <c r="E298" s="2" t="n"/>
      <c r="F298" s="21" t="n">
        <v>9</v>
      </c>
      <c r="G298" s="21" t="n">
        <v>1000000</v>
      </c>
      <c r="H298" s="21" t="n">
        <v>3250</v>
      </c>
      <c r="I298" s="21" t="n">
        <v>46750</v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20.25" customHeight="1">
      <c r="A299" s="21" t="n">
        <v>20</v>
      </c>
      <c r="B299" s="21" t="n">
        <v>1000000</v>
      </c>
      <c r="C299" s="21" t="n">
        <v>0</v>
      </c>
      <c r="D299" s="21" t="n">
        <v>50000</v>
      </c>
      <c r="E299" s="2" t="n"/>
      <c r="F299" s="21" t="n"/>
      <c r="G299" s="21" t="n"/>
      <c r="H299" s="21" t="n"/>
      <c r="I299" s="2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20.25" customHeight="1">
      <c r="A300" s="21" t="n"/>
      <c r="B300" s="21" t="n"/>
      <c r="C300" s="21" t="n"/>
      <c r="D300" s="21" t="n"/>
      <c r="E300" s="2" t="n"/>
      <c r="F300" s="21" t="n"/>
      <c r="G300" s="21" t="n"/>
      <c r="H300" s="21" t="n"/>
      <c r="I300" s="2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20.25" customHeight="1">
      <c r="A301" s="21" t="n"/>
      <c r="B301" s="21" t="n"/>
      <c r="C301" s="21" t="n"/>
      <c r="D301" s="21" t="n"/>
      <c r="E301" s="2" t="n"/>
      <c r="F301" s="21" t="n"/>
      <c r="G301" s="21" t="n"/>
      <c r="H301" s="21" t="n"/>
      <c r="I301" s="2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20.25" customHeight="1">
      <c r="A302" s="21" t="inlineStr">
        <is>
          <t>Total Payable</t>
        </is>
      </c>
      <c r="B302" s="21" t="n"/>
      <c r="C302" s="21" t="n"/>
      <c r="D302" s="21" t="n">
        <v>167600</v>
      </c>
      <c r="E302" s="2" t="n"/>
      <c r="F302" s="21" t="inlineStr">
        <is>
          <t>Total Payable</t>
        </is>
      </c>
      <c r="I302" s="21" t="n">
        <v>139750</v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6.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20.25" customHeight="1">
      <c r="A304" s="21" t="inlineStr">
        <is>
          <t>Name</t>
        </is>
      </c>
      <c r="B304" s="21" t="inlineStr">
        <is>
          <t>RAMESHJI</t>
        </is>
      </c>
      <c r="C304" s="21" t="inlineStr">
        <is>
          <t>ALWN COL</t>
        </is>
      </c>
      <c r="D304" s="21" t="inlineStr">
        <is>
          <t>2026-01-04</t>
        </is>
      </c>
      <c r="E304" s="2" t="n"/>
      <c r="F304" s="21" t="inlineStr">
        <is>
          <t>Name</t>
        </is>
      </c>
      <c r="G304" s="21" t="inlineStr">
        <is>
          <t>SURESHJI</t>
        </is>
      </c>
      <c r="H304" s="21" t="inlineStr">
        <is>
          <t>KAMAN</t>
        </is>
      </c>
      <c r="I304" s="21" t="inlineStr">
        <is>
          <t>2026-01-04</t>
        </is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20.25" customHeight="1">
      <c r="A305" s="21" t="inlineStr">
        <is>
          <t>Month</t>
        </is>
      </c>
      <c r="B305" s="21" t="inlineStr">
        <is>
          <t>Plan</t>
        </is>
      </c>
      <c r="C305" s="21" t="inlineStr">
        <is>
          <t>Commission</t>
        </is>
      </c>
      <c r="D305" s="21" t="inlineStr">
        <is>
          <t>Amount</t>
        </is>
      </c>
      <c r="E305" s="2" t="n"/>
      <c r="F305" s="21" t="inlineStr">
        <is>
          <t>Month</t>
        </is>
      </c>
      <c r="G305" s="21" t="inlineStr">
        <is>
          <t>Plan</t>
        </is>
      </c>
      <c r="H305" s="21" t="inlineStr">
        <is>
          <t>Commission</t>
        </is>
      </c>
      <c r="I305" s="21" t="inlineStr">
        <is>
          <t>Amount</t>
        </is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20.25" customHeight="1">
      <c r="A306" s="21" t="n">
        <v>9</v>
      </c>
      <c r="B306" s="21" t="n">
        <v>1000000</v>
      </c>
      <c r="C306" s="21" t="n">
        <v>3250</v>
      </c>
      <c r="D306" s="21" t="n">
        <v>46750</v>
      </c>
      <c r="E306" s="2" t="n"/>
      <c r="F306" s="21" t="n">
        <v>9</v>
      </c>
      <c r="G306" s="21" t="n">
        <v>1000000</v>
      </c>
      <c r="H306" s="21" t="n">
        <v>3250</v>
      </c>
      <c r="I306" s="21" t="n">
        <v>46750</v>
      </c>
      <c r="J306" s="21">
        <f>VLOOKUP(G306&amp;"|"&amp;H306,$Q$3:$R$16,2,FALSE)</f>
        <v/>
      </c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20.25" customHeight="1">
      <c r="A307" s="21" t="n">
        <v>4</v>
      </c>
      <c r="B307" s="21" t="n">
        <v>1000000</v>
      </c>
      <c r="C307" s="21" t="n">
        <v>7750</v>
      </c>
      <c r="D307" s="21" t="n">
        <v>42250</v>
      </c>
      <c r="E307" s="2" t="n"/>
      <c r="F307" s="21" t="n"/>
      <c r="G307" s="21" t="n"/>
      <c r="H307" s="21" t="n"/>
      <c r="I307" s="2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20.25" customHeight="1">
      <c r="A308" s="21" t="n"/>
      <c r="B308" s="21" t="n"/>
      <c r="C308" s="21" t="n"/>
      <c r="D308" s="21" t="n"/>
      <c r="E308" s="2" t="n"/>
      <c r="F308" s="21" t="n"/>
      <c r="G308" s="21" t="n"/>
      <c r="H308" s="21" t="n"/>
      <c r="I308" s="2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20.25" customHeight="1">
      <c r="A309" s="21" t="n"/>
      <c r="B309" s="21" t="n"/>
      <c r="C309" s="21" t="n"/>
      <c r="D309" s="21" t="n"/>
      <c r="E309" s="2" t="n"/>
      <c r="F309" s="21" t="n"/>
      <c r="G309" s="21" t="n"/>
      <c r="H309" s="21" t="n"/>
      <c r="I309" s="2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20.25" customHeight="1">
      <c r="A310" s="21" t="n"/>
      <c r="B310" s="21" t="n"/>
      <c r="C310" s="21" t="n"/>
      <c r="D310" s="21" t="n"/>
      <c r="E310" s="2" t="n"/>
      <c r="F310" s="21" t="n"/>
      <c r="G310" s="21" t="n"/>
      <c r="H310" s="21" t="n"/>
      <c r="I310" s="2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20.25" customHeight="1">
      <c r="A311" s="21" t="inlineStr">
        <is>
          <t>Total Payable</t>
        </is>
      </c>
      <c r="B311" s="21" t="n"/>
      <c r="C311" s="21" t="n"/>
      <c r="D311" s="21" t="n">
        <v>89000</v>
      </c>
      <c r="E311" s="2" t="n"/>
      <c r="F311" s="21" t="inlineStr">
        <is>
          <t>Total Payable</t>
        </is>
      </c>
      <c r="I311" s="21" t="n">
        <v>46750</v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6.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20.25" customHeight="1">
      <c r="A313" s="21" t="inlineStr">
        <is>
          <t>Name</t>
        </is>
      </c>
      <c r="B313" s="21" t="inlineStr">
        <is>
          <t>OM</t>
        </is>
      </c>
      <c r="C313" s="21" t="inlineStr">
        <is>
          <t>J GUTTA</t>
        </is>
      </c>
      <c r="D313" s="21" t="inlineStr">
        <is>
          <t>2026-01-04</t>
        </is>
      </c>
      <c r="E313" s="2" t="n"/>
      <c r="F313" s="21" t="inlineStr">
        <is>
          <t>Name</t>
        </is>
      </c>
      <c r="G313" s="21" t="inlineStr">
        <is>
          <t>NARAYANJI</t>
        </is>
      </c>
      <c r="H313" s="21" t="inlineStr">
        <is>
          <t>ALWAL</t>
        </is>
      </c>
      <c r="I313" s="21" t="inlineStr">
        <is>
          <t>2026-01-04</t>
        </is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20.25" customHeight="1">
      <c r="A314" s="21" t="inlineStr">
        <is>
          <t>Month</t>
        </is>
      </c>
      <c r="B314" s="21" t="inlineStr">
        <is>
          <t>Plan</t>
        </is>
      </c>
      <c r="C314" s="21" t="inlineStr">
        <is>
          <t>Commission</t>
        </is>
      </c>
      <c r="D314" s="21" t="inlineStr">
        <is>
          <t>Amount</t>
        </is>
      </c>
      <c r="E314" s="2" t="n"/>
      <c r="F314" s="21" t="inlineStr">
        <is>
          <t>Month</t>
        </is>
      </c>
      <c r="G314" s="21" t="inlineStr">
        <is>
          <t>Plan</t>
        </is>
      </c>
      <c r="H314" s="21" t="inlineStr">
        <is>
          <t>Commission</t>
        </is>
      </c>
      <c r="I314" s="21" t="inlineStr">
        <is>
          <t>Amount</t>
        </is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20.25" customHeight="1">
      <c r="A315" s="21" t="n">
        <v>9</v>
      </c>
      <c r="B315" s="21" t="n">
        <v>500000</v>
      </c>
      <c r="C315" s="21" t="n">
        <v>2000</v>
      </c>
      <c r="D315" s="21" t="n">
        <v>23000</v>
      </c>
      <c r="E315" s="2" t="n"/>
      <c r="F315" s="21" t="n">
        <v>20</v>
      </c>
      <c r="G315" s="21" t="n">
        <v>500000</v>
      </c>
      <c r="H315" s="21" t="n">
        <v>0</v>
      </c>
      <c r="I315" s="21" t="n">
        <v>25000</v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20.25" customHeight="1">
      <c r="A316" s="21" t="n">
        <v>14</v>
      </c>
      <c r="B316" s="21" t="n">
        <v>500000</v>
      </c>
      <c r="C316" s="21" t="n">
        <v>900</v>
      </c>
      <c r="D316" s="21" t="n">
        <v>24100</v>
      </c>
      <c r="E316" s="2" t="n"/>
      <c r="F316" s="21" t="n"/>
      <c r="G316" s="21" t="n"/>
      <c r="H316" s="21" t="n"/>
      <c r="I316" s="2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20.25" customHeight="1">
      <c r="A317" s="21" t="n"/>
      <c r="B317" s="21" t="n"/>
      <c r="C317" s="21" t="n"/>
      <c r="D317" s="21" t="n"/>
      <c r="E317" s="2" t="n"/>
      <c r="F317" s="21" t="n"/>
      <c r="G317" s="21" t="n"/>
      <c r="H317" s="21" t="n"/>
      <c r="I317" s="2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20.25" customHeight="1">
      <c r="A318" s="21" t="n"/>
      <c r="B318" s="21" t="n"/>
      <c r="C318" s="21" t="n"/>
      <c r="D318" s="21" t="n"/>
      <c r="E318" s="2" t="n"/>
      <c r="F318" s="21" t="n"/>
      <c r="G318" s="21" t="n"/>
      <c r="H318" s="21" t="n"/>
      <c r="I318" s="2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20.25" customHeight="1">
      <c r="A319" s="21" t="n"/>
      <c r="B319" s="21" t="n"/>
      <c r="C319" s="21" t="n"/>
      <c r="D319" s="21" t="n"/>
      <c r="E319" s="2" t="n"/>
      <c r="F319" s="21" t="n"/>
      <c r="G319" s="21" t="n"/>
      <c r="H319" s="21" t="n"/>
      <c r="I319" s="2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20.25" customHeight="1">
      <c r="A320" s="21" t="inlineStr">
        <is>
          <t>Total Payable</t>
        </is>
      </c>
      <c r="B320" s="21" t="n"/>
      <c r="C320" s="21" t="n"/>
      <c r="D320" s="21" t="n">
        <v>47100</v>
      </c>
      <c r="E320" s="2" t="n"/>
      <c r="F320" s="21" t="inlineStr">
        <is>
          <t>Total Payable</t>
        </is>
      </c>
      <c r="I320" s="21" t="n">
        <v>25000</v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6.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20.25" customHeight="1">
      <c r="A322" s="21" t="inlineStr">
        <is>
          <t>Name</t>
        </is>
      </c>
      <c r="B322" s="21" t="inlineStr">
        <is>
          <t>BABULALJI</t>
        </is>
      </c>
      <c r="C322" s="21" t="inlineStr">
        <is>
          <t>CHILKA NGR</t>
        </is>
      </c>
      <c r="D322" s="21" t="inlineStr">
        <is>
          <t>2026-01-04</t>
        </is>
      </c>
      <c r="E322" s="2" t="n"/>
      <c r="F322" s="21" t="inlineStr">
        <is>
          <t>Name</t>
        </is>
      </c>
      <c r="G322" s="21" t="inlineStr">
        <is>
          <t>CHENJI</t>
        </is>
      </c>
      <c r="H322" s="21" t="inlineStr">
        <is>
          <t>BOLARAM</t>
        </is>
      </c>
      <c r="I322" s="21" t="inlineStr">
        <is>
          <t>2026-01-04</t>
        </is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20.25" customHeight="1">
      <c r="A323" s="21" t="inlineStr">
        <is>
          <t>Month</t>
        </is>
      </c>
      <c r="B323" s="21" t="inlineStr">
        <is>
          <t>Plan</t>
        </is>
      </c>
      <c r="C323" s="21" t="inlineStr">
        <is>
          <t>Commission</t>
        </is>
      </c>
      <c r="D323" s="21" t="inlineStr">
        <is>
          <t>Amount</t>
        </is>
      </c>
      <c r="E323" s="2" t="n"/>
      <c r="F323" s="21" t="inlineStr">
        <is>
          <t>Month</t>
        </is>
      </c>
      <c r="G323" s="21" t="inlineStr">
        <is>
          <t>Plan</t>
        </is>
      </c>
      <c r="H323" s="21" t="inlineStr">
        <is>
          <t>Commission</t>
        </is>
      </c>
      <c r="I323" s="21" t="inlineStr">
        <is>
          <t>Amount</t>
        </is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20.25" customHeight="1">
      <c r="A324" s="21" t="n">
        <v>4</v>
      </c>
      <c r="B324" s="21" t="n">
        <v>500000</v>
      </c>
      <c r="C324" s="21" t="n">
        <v>3250</v>
      </c>
      <c r="D324" s="21" t="n">
        <v>21750</v>
      </c>
      <c r="E324" s="2" t="n"/>
      <c r="F324" s="21" t="n">
        <v>14</v>
      </c>
      <c r="G324" s="21" t="n">
        <v>500000</v>
      </c>
      <c r="H324" s="21" t="n">
        <v>900</v>
      </c>
      <c r="I324" s="21" t="n">
        <v>24100</v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20.25" customHeight="1">
      <c r="A325" s="21" t="n"/>
      <c r="B325" s="21" t="n"/>
      <c r="C325" s="21" t="n"/>
      <c r="D325" s="21" t="n"/>
      <c r="E325" s="2" t="n"/>
      <c r="F325" s="21" t="n"/>
      <c r="G325" s="21" t="n"/>
      <c r="H325" s="21" t="n"/>
      <c r="I325" s="2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20.25" customHeight="1">
      <c r="A326" s="21" t="n"/>
      <c r="B326" s="21" t="n"/>
      <c r="C326" s="21" t="n"/>
      <c r="D326" s="21" t="n"/>
      <c r="E326" s="2" t="n"/>
      <c r="F326" s="21" t="n"/>
      <c r="G326" s="21" t="n"/>
      <c r="H326" s="21" t="n"/>
      <c r="I326" s="2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20.25" customHeight="1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20.25" customHeight="1">
      <c r="A328" s="21" t="n"/>
      <c r="B328" s="21" t="n"/>
      <c r="C328" s="21" t="n"/>
      <c r="D328" s="21" t="n"/>
      <c r="E328" s="2" t="n"/>
      <c r="F328" s="21" t="n"/>
      <c r="G328" s="21" t="n"/>
      <c r="H328" s="21" t="n"/>
      <c r="I328" s="2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20.25" customHeight="1">
      <c r="A329" s="21" t="inlineStr">
        <is>
          <t>Total Payable</t>
        </is>
      </c>
      <c r="B329" s="21" t="n"/>
      <c r="C329" s="21" t="n"/>
      <c r="D329" s="21" t="n">
        <v>21750</v>
      </c>
      <c r="E329" s="2" t="n"/>
      <c r="F329" s="21" t="inlineStr">
        <is>
          <t>Total Payable</t>
        </is>
      </c>
      <c r="I329" s="21" t="n">
        <v>24100</v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6.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20.25" customHeight="1">
      <c r="A331" s="21" t="inlineStr">
        <is>
          <t>Name</t>
        </is>
      </c>
      <c r="B331" s="21" t="inlineStr">
        <is>
          <t>MUKESHJI</t>
        </is>
      </c>
      <c r="C331" s="21" t="inlineStr">
        <is>
          <t>RAMARAM</t>
        </is>
      </c>
      <c r="D331" s="21" t="inlineStr">
        <is>
          <t>2026-01-04</t>
        </is>
      </c>
      <c r="E331" s="2" t="n"/>
      <c r="F331" s="21" t="inlineStr">
        <is>
          <t>Name</t>
        </is>
      </c>
      <c r="G331" s="21" t="inlineStr">
        <is>
          <t>MOHANJI</t>
        </is>
      </c>
      <c r="H331" s="21" t="inlineStr">
        <is>
          <t>YAMJAL</t>
        </is>
      </c>
      <c r="I331" s="21" t="inlineStr">
        <is>
          <t>2026-01-04</t>
        </is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20.25" customHeight="1">
      <c r="A332" s="21" t="inlineStr">
        <is>
          <t>Month</t>
        </is>
      </c>
      <c r="B332" s="21" t="inlineStr">
        <is>
          <t>Plan</t>
        </is>
      </c>
      <c r="C332" s="21" t="inlineStr">
        <is>
          <t>Commission</t>
        </is>
      </c>
      <c r="D332" s="21" t="inlineStr">
        <is>
          <t>Amount</t>
        </is>
      </c>
      <c r="E332" s="2" t="n"/>
      <c r="F332" s="21" t="inlineStr">
        <is>
          <t>Month</t>
        </is>
      </c>
      <c r="G332" s="21" t="inlineStr">
        <is>
          <t>Plan</t>
        </is>
      </c>
      <c r="H332" s="21" t="inlineStr">
        <is>
          <t>Commission</t>
        </is>
      </c>
      <c r="I332" s="21" t="inlineStr">
        <is>
          <t>Amount</t>
        </is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20.25" customHeight="1">
      <c r="A333" s="21" t="n">
        <v>14</v>
      </c>
      <c r="B333" s="21" t="n">
        <v>500000</v>
      </c>
      <c r="C333" s="21" t="n">
        <v>900</v>
      </c>
      <c r="D333" s="21" t="n">
        <v>24100</v>
      </c>
      <c r="E333" s="2" t="n"/>
      <c r="F333" s="21" t="n">
        <v>14</v>
      </c>
      <c r="G333" s="21" t="n">
        <v>500000</v>
      </c>
      <c r="H333" s="21" t="n">
        <v>900</v>
      </c>
      <c r="I333" s="21" t="n">
        <v>24100</v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20.25" customHeight="1">
      <c r="A334" s="21" t="n">
        <v>17</v>
      </c>
      <c r="B334" s="21" t="n">
        <v>500000</v>
      </c>
      <c r="C334" s="21" t="n">
        <v>400</v>
      </c>
      <c r="D334" s="21" t="n">
        <v>24600</v>
      </c>
      <c r="E334" s="2" t="n"/>
      <c r="F334" s="21" t="n"/>
      <c r="G334" s="21" t="n"/>
      <c r="H334" s="21" t="n"/>
      <c r="I334" s="2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20.25" customHeight="1">
      <c r="A335" s="21" t="n"/>
      <c r="B335" s="21" t="n"/>
      <c r="C335" s="21" t="n"/>
      <c r="D335" s="21" t="n"/>
      <c r="E335" s="2" t="n"/>
      <c r="F335" s="21" t="n"/>
      <c r="G335" s="21" t="n"/>
      <c r="H335" s="21" t="n"/>
      <c r="I335" s="2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20.25" customHeight="1">
      <c r="A336" s="21" t="n"/>
      <c r="B336" s="21" t="n"/>
      <c r="C336" s="21" t="n"/>
      <c r="D336" s="21" t="n"/>
      <c r="E336" s="2" t="n"/>
      <c r="F336" s="21" t="n"/>
      <c r="G336" s="21" t="n"/>
      <c r="H336" s="21" t="n"/>
      <c r="I336" s="2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20.25" customHeight="1">
      <c r="A337" s="21" t="n"/>
      <c r="B337" s="21" t="n"/>
      <c r="C337" s="21" t="n"/>
      <c r="D337" s="21" t="n"/>
      <c r="E337" s="2" t="n"/>
      <c r="F337" s="21" t="n"/>
      <c r="G337" s="21" t="n"/>
      <c r="H337" s="21" t="n"/>
      <c r="I337" s="2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20.25" customHeight="1">
      <c r="A338" s="21" t="inlineStr">
        <is>
          <t>Total Payable</t>
        </is>
      </c>
      <c r="B338" s="21" t="n"/>
      <c r="C338" s="21" t="n"/>
      <c r="D338" s="21" t="n">
        <v>48700</v>
      </c>
      <c r="E338" s="21" t="n"/>
      <c r="F338" s="21" t="inlineStr">
        <is>
          <t>Total Payable</t>
        </is>
      </c>
      <c r="I338" s="21" t="n">
        <v>24100</v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6.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20.25" customHeight="1">
      <c r="A340" s="21" t="inlineStr">
        <is>
          <t>Name</t>
        </is>
      </c>
      <c r="B340" s="21" t="inlineStr">
        <is>
          <t>MISRILALJI</t>
        </is>
      </c>
      <c r="C340" s="21" t="inlineStr">
        <is>
          <t>MEDCHAL</t>
        </is>
      </c>
      <c r="D340" s="21" t="inlineStr">
        <is>
          <t>2026-01-04</t>
        </is>
      </c>
      <c r="E340" s="2" t="n"/>
      <c r="F340" s="21" t="inlineStr">
        <is>
          <t>Name</t>
        </is>
      </c>
      <c r="G340" s="21" t="inlineStr">
        <is>
          <t>GOPJI</t>
        </is>
      </c>
      <c r="H340" s="21" t="inlineStr">
        <is>
          <t>KOTLAPUR</t>
        </is>
      </c>
      <c r="I340" s="21" t="inlineStr">
        <is>
          <t>2026-01-04</t>
        </is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20.25" customHeight="1">
      <c r="A341" s="21" t="inlineStr">
        <is>
          <t>Month</t>
        </is>
      </c>
      <c r="B341" s="21" t="inlineStr">
        <is>
          <t>Plan</t>
        </is>
      </c>
      <c r="C341" s="21" t="inlineStr">
        <is>
          <t>Commission</t>
        </is>
      </c>
      <c r="D341" s="21" t="inlineStr">
        <is>
          <t>Amount</t>
        </is>
      </c>
      <c r="E341" s="2" t="n"/>
      <c r="F341" s="21" t="inlineStr">
        <is>
          <t>Month</t>
        </is>
      </c>
      <c r="G341" s="21" t="inlineStr">
        <is>
          <t>Plan</t>
        </is>
      </c>
      <c r="H341" s="21" t="inlineStr">
        <is>
          <t>Commission</t>
        </is>
      </c>
      <c r="I341" s="21" t="inlineStr">
        <is>
          <t>Amount</t>
        </is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20.25" customHeight="1">
      <c r="A342" s="21" t="n">
        <v>17</v>
      </c>
      <c r="B342" s="21" t="n">
        <v>500000</v>
      </c>
      <c r="C342" s="21" t="n">
        <v>400</v>
      </c>
      <c r="D342" s="21" t="n">
        <v>24600</v>
      </c>
      <c r="E342" s="2" t="n"/>
      <c r="F342" s="21" t="n">
        <v>4</v>
      </c>
      <c r="G342" s="21" t="n">
        <v>500000</v>
      </c>
      <c r="H342" s="21" t="n">
        <v>3250</v>
      </c>
      <c r="I342" s="21" t="n">
        <v>21750</v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20.25" customHeight="1">
      <c r="A343" s="21" t="n"/>
      <c r="B343" s="21" t="n"/>
      <c r="C343" s="21" t="n"/>
      <c r="D343" s="21" t="n"/>
      <c r="E343" s="2" t="n"/>
      <c r="F343" s="21" t="n"/>
      <c r="G343" s="21" t="n"/>
      <c r="H343" s="21" t="n"/>
      <c r="I343" s="2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20.25" customHeight="1">
      <c r="A344" s="21" t="n"/>
      <c r="B344" s="21" t="n"/>
      <c r="C344" s="21" t="n"/>
      <c r="D344" s="21" t="n"/>
      <c r="E344" s="2" t="n"/>
      <c r="F344" s="21" t="n"/>
      <c r="G344" s="21" t="n"/>
      <c r="H344" s="21" t="n"/>
      <c r="I344" s="2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20.25" customHeight="1">
      <c r="A345" s="21" t="n"/>
      <c r="B345" s="21" t="n"/>
      <c r="C345" s="21" t="n"/>
      <c r="D345" s="21" t="n"/>
      <c r="E345" s="2" t="n"/>
      <c r="F345" s="21" t="n"/>
      <c r="G345" s="21" t="n"/>
      <c r="H345" s="21" t="n"/>
      <c r="I345" s="2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20.25" customHeight="1">
      <c r="A346" s="21" t="n"/>
      <c r="B346" s="21" t="n"/>
      <c r="C346" s="21" t="n"/>
      <c r="D346" s="21" t="n"/>
      <c r="E346" s="2" t="n"/>
      <c r="F346" s="21" t="n"/>
      <c r="G346" s="21" t="n"/>
      <c r="H346" s="21" t="n"/>
      <c r="I346" s="2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20.25" customHeight="1">
      <c r="A347" s="21" t="inlineStr">
        <is>
          <t>Total Payable</t>
        </is>
      </c>
      <c r="B347" s="21" t="n"/>
      <c r="C347" s="21" t="n"/>
      <c r="D347" s="21" t="n">
        <v>24600</v>
      </c>
      <c r="E347" s="2" t="n"/>
      <c r="F347" s="21" t="inlineStr">
        <is>
          <t>Total Payable</t>
        </is>
      </c>
      <c r="I347" s="21" t="n">
        <v>21750</v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20.25" customHeight="1">
      <c r="A348" s="21" t="n"/>
      <c r="B348" s="21" t="n"/>
      <c r="C348" s="21" t="n"/>
      <c r="D348" s="21" t="n"/>
      <c r="E348" s="2" t="n"/>
      <c r="F348" s="2" t="n"/>
      <c r="G348" s="2" t="n"/>
      <c r="H348" s="2" t="n"/>
      <c r="I348" s="2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20.25" customHeight="1">
      <c r="A349" s="21" t="inlineStr">
        <is>
          <t>Name</t>
        </is>
      </c>
      <c r="B349" s="21" t="inlineStr">
        <is>
          <t>GOVIND</t>
        </is>
      </c>
      <c r="C349" s="21" t="inlineStr">
        <is>
          <t>PPR NGR</t>
        </is>
      </c>
      <c r="D349" s="21" t="inlineStr">
        <is>
          <t>2026-01-04</t>
        </is>
      </c>
      <c r="E349" s="2" t="n"/>
      <c r="F349" s="21" t="inlineStr">
        <is>
          <t>Name</t>
        </is>
      </c>
      <c r="G349" s="21" t="inlineStr">
        <is>
          <t>NEMJI</t>
        </is>
      </c>
      <c r="H349" s="21" t="inlineStr">
        <is>
          <t>SUCHITRA</t>
        </is>
      </c>
      <c r="I349" s="21" t="inlineStr">
        <is>
          <t>2026-01-04</t>
        </is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20.25" customHeight="1">
      <c r="A350" s="21" t="inlineStr">
        <is>
          <t>Month</t>
        </is>
      </c>
      <c r="B350" s="21" t="inlineStr">
        <is>
          <t>Plan</t>
        </is>
      </c>
      <c r="C350" s="21" t="inlineStr">
        <is>
          <t>Commission</t>
        </is>
      </c>
      <c r="D350" s="21" t="inlineStr">
        <is>
          <t>Amount</t>
        </is>
      </c>
      <c r="E350" s="2" t="n"/>
      <c r="F350" s="21" t="inlineStr">
        <is>
          <t>Month</t>
        </is>
      </c>
      <c r="G350" s="21" t="inlineStr">
        <is>
          <t>Plan</t>
        </is>
      </c>
      <c r="H350" s="21" t="inlineStr">
        <is>
          <t>Commission</t>
        </is>
      </c>
      <c r="I350" s="21" t="inlineStr">
        <is>
          <t>Amount</t>
        </is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20.25" customHeight="1">
      <c r="A351" s="21" t="n">
        <v>20</v>
      </c>
      <c r="B351" s="21" t="n">
        <v>500000</v>
      </c>
      <c r="C351" s="21" t="n">
        <v>0</v>
      </c>
      <c r="D351" s="21" t="n">
        <v>25000</v>
      </c>
      <c r="E351" s="2" t="n"/>
      <c r="F351" s="21" t="n">
        <v>4</v>
      </c>
      <c r="G351" s="21" t="n">
        <v>500000</v>
      </c>
      <c r="H351" s="21" t="n">
        <v>3250</v>
      </c>
      <c r="I351" s="21" t="n">
        <v>21750</v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20.25" customHeight="1">
      <c r="A352" s="21" t="n"/>
      <c r="B352" s="21" t="n"/>
      <c r="C352" s="21" t="n"/>
      <c r="D352" s="21" t="n"/>
      <c r="E352" s="2" t="n"/>
      <c r="F352" s="21" t="n"/>
      <c r="G352" s="21" t="n"/>
      <c r="H352" s="21" t="n"/>
      <c r="I352" s="2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20.25" customHeight="1">
      <c r="A353" s="21" t="n"/>
      <c r="B353" s="21" t="n"/>
      <c r="C353" s="21" t="n"/>
      <c r="D353" s="21" t="n"/>
      <c r="E353" s="2" t="n"/>
      <c r="F353" s="21" t="n"/>
      <c r="G353" s="21" t="n"/>
      <c r="H353" s="21" t="n"/>
      <c r="I353" s="2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20.25" customHeight="1">
      <c r="A354" s="21" t="n"/>
      <c r="B354" s="21" t="n"/>
      <c r="C354" s="21" t="n"/>
      <c r="D354" s="21" t="n"/>
      <c r="E354" s="2" t="n"/>
      <c r="F354" s="21" t="n"/>
      <c r="G354" s="21" t="n"/>
      <c r="H354" s="21" t="n"/>
      <c r="I354" s="2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20.25" customHeight="1">
      <c r="A355" s="21" t="n"/>
      <c r="B355" s="21" t="n"/>
      <c r="C355" s="21" t="n"/>
      <c r="D355" s="21" t="n"/>
      <c r="E355" s="2" t="n"/>
      <c r="F355" s="21" t="n"/>
      <c r="G355" s="21" t="n"/>
      <c r="H355" s="21" t="n"/>
      <c r="I355" s="2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20.25" customHeight="1">
      <c r="A356" s="21" t="inlineStr">
        <is>
          <t>Total Payable</t>
        </is>
      </c>
      <c r="B356" s="21" t="n"/>
      <c r="C356" s="21" t="n"/>
      <c r="D356" s="21" t="n">
        <v>25000</v>
      </c>
      <c r="E356" s="2" t="n"/>
      <c r="F356" s="21" t="inlineStr">
        <is>
          <t>Total Payable</t>
        </is>
      </c>
      <c r="I356" s="21" t="n">
        <v>21750</v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20.25" customHeight="1">
      <c r="A357" s="21" t="n"/>
      <c r="B357" s="21" t="n"/>
      <c r="C357" s="21" t="n"/>
      <c r="D357" s="21" t="n"/>
      <c r="E357" s="2" t="n"/>
      <c r="F357" s="2" t="n"/>
      <c r="G357" s="2" t="n"/>
      <c r="H357" s="2" t="n"/>
      <c r="I357" s="2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20.25" customHeight="1">
      <c r="A358" s="21" t="inlineStr">
        <is>
          <t>Name</t>
        </is>
      </c>
      <c r="B358" s="21" t="inlineStr">
        <is>
          <t>SOHANLALJI</t>
        </is>
      </c>
      <c r="C358" s="21" t="inlineStr">
        <is>
          <t>RR NGR</t>
        </is>
      </c>
      <c r="D358" s="21" t="inlineStr">
        <is>
          <t>2026-01-04</t>
        </is>
      </c>
      <c r="E358" s="2" t="n"/>
      <c r="F358" s="21" t="inlineStr">
        <is>
          <t>Name</t>
        </is>
      </c>
      <c r="G358" s="21" t="inlineStr">
        <is>
          <t>HIMTARAMJI</t>
        </is>
      </c>
      <c r="H358" s="21" t="inlineStr">
        <is>
          <t>SURARAM</t>
        </is>
      </c>
      <c r="I358" s="21" t="inlineStr">
        <is>
          <t>2026-01-04</t>
        </is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20.25" customHeight="1">
      <c r="A359" s="21" t="inlineStr">
        <is>
          <t>Month</t>
        </is>
      </c>
      <c r="B359" s="21" t="inlineStr">
        <is>
          <t>Plan</t>
        </is>
      </c>
      <c r="C359" s="21" t="inlineStr">
        <is>
          <t>Commission</t>
        </is>
      </c>
      <c r="D359" s="21" t="inlineStr">
        <is>
          <t>Amount</t>
        </is>
      </c>
      <c r="E359" s="2" t="n"/>
      <c r="F359" s="21" t="inlineStr">
        <is>
          <t>Month</t>
        </is>
      </c>
      <c r="G359" s="21" t="inlineStr">
        <is>
          <t>Plan</t>
        </is>
      </c>
      <c r="H359" s="21" t="inlineStr">
        <is>
          <t>Commission</t>
        </is>
      </c>
      <c r="I359" s="21" t="inlineStr">
        <is>
          <t>Amount</t>
        </is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20.25" customHeight="1">
      <c r="A360" s="21" t="n">
        <v>9</v>
      </c>
      <c r="B360" s="21" t="n">
        <v>500000</v>
      </c>
      <c r="C360" s="21" t="n">
        <v>2000</v>
      </c>
      <c r="D360" s="21" t="n">
        <v>23000</v>
      </c>
      <c r="E360" s="2" t="n"/>
      <c r="F360" s="21" t="n">
        <v>17</v>
      </c>
      <c r="G360" s="21" t="n">
        <v>500000</v>
      </c>
      <c r="H360" s="21" t="n">
        <v>400</v>
      </c>
      <c r="I360" s="21" t="n">
        <v>24600</v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20.25" customHeight="1">
      <c r="A361" s="21" t="inlineStr">
        <is>
          <t>4.1</t>
        </is>
      </c>
      <c r="B361" s="21" t="n">
        <v>1000000</v>
      </c>
      <c r="C361" s="21" t="n">
        <v>7700</v>
      </c>
      <c r="D361" s="21" t="n">
        <v>42300</v>
      </c>
      <c r="E361" s="2" t="n"/>
      <c r="F361" s="21" t="n"/>
      <c r="G361" s="21" t="n"/>
      <c r="H361" s="21" t="n"/>
      <c r="I361" s="2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20.25" customHeight="1">
      <c r="A362" s="21" t="n"/>
      <c r="B362" s="21" t="n"/>
      <c r="C362" s="21" t="n"/>
      <c r="D362" s="21" t="n"/>
      <c r="E362" s="2" t="n"/>
      <c r="F362" s="21" t="n"/>
      <c r="G362" s="21" t="n"/>
      <c r="H362" s="21" t="n"/>
      <c r="I362" s="2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20.25" customHeight="1">
      <c r="A363" s="21" t="n"/>
      <c r="B363" s="21" t="n"/>
      <c r="C363" s="21" t="n"/>
      <c r="D363" s="21" t="n"/>
      <c r="E363" s="2" t="n"/>
      <c r="F363" s="21" t="n"/>
      <c r="G363" s="21" t="n"/>
      <c r="H363" s="21" t="n"/>
      <c r="I363" s="2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20.25" customHeight="1">
      <c r="A364" s="21" t="n"/>
      <c r="B364" s="21" t="n"/>
      <c r="C364" s="21" t="n"/>
      <c r="D364" s="21" t="n"/>
      <c r="E364" s="2" t="n"/>
      <c r="F364" s="21" t="n"/>
      <c r="G364" s="21" t="n"/>
      <c r="H364" s="21" t="n"/>
      <c r="I364" s="2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20.25" customHeight="1">
      <c r="A365" s="21" t="inlineStr">
        <is>
          <t>Total Payable</t>
        </is>
      </c>
      <c r="B365" s="21" t="n"/>
      <c r="C365" s="21" t="n"/>
      <c r="D365" s="21" t="n">
        <v>65300</v>
      </c>
      <c r="E365" s="2" t="n"/>
      <c r="F365" s="21" t="inlineStr">
        <is>
          <t>Total Payable</t>
        </is>
      </c>
      <c r="I365" s="21" t="n">
        <v>24600</v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6.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20.25" customHeight="1">
      <c r="A367" s="21" t="inlineStr">
        <is>
          <t>Name</t>
        </is>
      </c>
      <c r="B367" s="21" t="inlineStr">
        <is>
          <t>KISHANJI(3)</t>
        </is>
      </c>
      <c r="C367" s="21" t="inlineStr">
        <is>
          <t>KAMAN</t>
        </is>
      </c>
      <c r="D367" s="21" t="inlineStr">
        <is>
          <t>2026-01-04</t>
        </is>
      </c>
      <c r="E367" s="2" t="n"/>
      <c r="F367" s="21" t="inlineStr">
        <is>
          <t>Name</t>
        </is>
      </c>
      <c r="G367" s="21" t="inlineStr">
        <is>
          <t>CHENJI</t>
        </is>
      </c>
      <c r="H367" s="21" t="inlineStr">
        <is>
          <t>SURARAM</t>
        </is>
      </c>
      <c r="I367" s="21" t="inlineStr">
        <is>
          <t>2026-01-04</t>
        </is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20.25" customHeight="1">
      <c r="A368" s="21" t="inlineStr">
        <is>
          <t>Month</t>
        </is>
      </c>
      <c r="B368" s="21" t="inlineStr">
        <is>
          <t>Plan</t>
        </is>
      </c>
      <c r="C368" s="21" t="inlineStr">
        <is>
          <t>Commission</t>
        </is>
      </c>
      <c r="D368" s="21" t="inlineStr">
        <is>
          <t>Amount</t>
        </is>
      </c>
      <c r="E368" s="2" t="n"/>
      <c r="F368" s="21" t="inlineStr">
        <is>
          <t>Month</t>
        </is>
      </c>
      <c r="G368" s="21" t="inlineStr">
        <is>
          <t>Plan</t>
        </is>
      </c>
      <c r="H368" s="21" t="inlineStr">
        <is>
          <t>Commission</t>
        </is>
      </c>
      <c r="I368" s="21" t="inlineStr">
        <is>
          <t>Amount</t>
        </is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20.25" customHeight="1">
      <c r="A369" s="21" t="n">
        <v>9</v>
      </c>
      <c r="B369" s="21" t="n">
        <v>1000000</v>
      </c>
      <c r="C369" s="21" t="n">
        <v>3250</v>
      </c>
      <c r="D369" s="21" t="n">
        <v>46750</v>
      </c>
      <c r="E369" s="2" t="n"/>
      <c r="F369" s="21" t="n">
        <v>17</v>
      </c>
      <c r="G369" s="21" t="n">
        <v>500000</v>
      </c>
      <c r="H369" s="21" t="n">
        <v>400</v>
      </c>
      <c r="I369" s="21" t="n">
        <v>24600</v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20.25" customHeight="1">
      <c r="A370" s="21" t="n">
        <v>4</v>
      </c>
      <c r="B370" s="21" t="n">
        <v>500000</v>
      </c>
      <c r="C370" s="21" t="n">
        <v>3250</v>
      </c>
      <c r="D370" s="21" t="n">
        <v>21750</v>
      </c>
      <c r="E370" s="4" t="n"/>
      <c r="F370" s="21" t="n"/>
      <c r="G370" s="21" t="n"/>
      <c r="H370" s="21" t="n"/>
      <c r="I370" s="2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20.25" customHeight="1">
      <c r="A371" s="21" t="n"/>
      <c r="B371" s="21" t="n"/>
      <c r="C371" s="21" t="n"/>
      <c r="D371" s="21" t="n"/>
      <c r="E371" s="4" t="n"/>
      <c r="F371" s="21" t="n"/>
      <c r="G371" s="21" t="n"/>
      <c r="H371" s="21" t="n"/>
      <c r="I371" s="2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20.25" customHeight="1">
      <c r="A372" s="21" t="n"/>
      <c r="B372" s="21" t="n"/>
      <c r="C372" s="21" t="n"/>
      <c r="D372" s="21" t="n"/>
      <c r="E372" s="4" t="n"/>
      <c r="F372" s="21" t="n"/>
      <c r="G372" s="21" t="n"/>
      <c r="H372" s="21" t="n"/>
      <c r="I372" s="2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20.25" customHeight="1">
      <c r="A373" s="21" t="n"/>
      <c r="B373" s="21" t="n"/>
      <c r="C373" s="21" t="n"/>
      <c r="D373" s="21" t="n"/>
      <c r="E373" s="4" t="n"/>
      <c r="F373" s="21" t="n"/>
      <c r="G373" s="21" t="n"/>
      <c r="H373" s="21" t="n"/>
      <c r="I373" s="2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20.25" customHeight="1">
      <c r="A374" s="21" t="inlineStr">
        <is>
          <t>Total Payable</t>
        </is>
      </c>
      <c r="B374" s="21" t="n"/>
      <c r="C374" s="21" t="n"/>
      <c r="D374" s="21" t="n">
        <v>68500</v>
      </c>
      <c r="E374" s="4" t="n"/>
      <c r="F374" s="21" t="inlineStr">
        <is>
          <t>Total Payable</t>
        </is>
      </c>
      <c r="I374" s="21" t="n">
        <v>24600</v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6.5" customHeight="1">
      <c r="A375" s="2" t="n"/>
      <c r="B375" s="2" t="n"/>
      <c r="C375" s="2" t="n"/>
      <c r="D375" s="2" t="n"/>
      <c r="E375" s="4" t="n"/>
      <c r="F375" s="2" t="n"/>
      <c r="G375" s="2" t="n"/>
      <c r="H375" s="2" t="n"/>
      <c r="I375" s="2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20.25" customHeight="1">
      <c r="A376" s="21" t="inlineStr">
        <is>
          <t>Name</t>
        </is>
      </c>
      <c r="B376" s="21" t="inlineStr">
        <is>
          <t>RAMESHJI</t>
        </is>
      </c>
      <c r="C376" s="21" t="inlineStr">
        <is>
          <t>SHAPUR</t>
        </is>
      </c>
      <c r="D376" s="21" t="inlineStr">
        <is>
          <t>2026-01-04</t>
        </is>
      </c>
      <c r="E376" s="4" t="n"/>
      <c r="F376" s="21" t="inlineStr">
        <is>
          <t>Name</t>
        </is>
      </c>
      <c r="G376" s="21" t="inlineStr">
        <is>
          <t>OMJI</t>
        </is>
      </c>
      <c r="H376" s="21" t="inlineStr">
        <is>
          <t>SEC</t>
        </is>
      </c>
      <c r="I376" s="21" t="inlineStr">
        <is>
          <t>2026-01-04</t>
        </is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20.25" customHeight="1">
      <c r="A377" s="21" t="inlineStr">
        <is>
          <t>Month</t>
        </is>
      </c>
      <c r="B377" s="21" t="inlineStr">
        <is>
          <t>Plan</t>
        </is>
      </c>
      <c r="C377" s="21" t="inlineStr">
        <is>
          <t>Commission</t>
        </is>
      </c>
      <c r="D377" s="21" t="inlineStr">
        <is>
          <t>Amount</t>
        </is>
      </c>
      <c r="E377" s="4" t="n"/>
      <c r="F377" s="21" t="inlineStr">
        <is>
          <t>Month</t>
        </is>
      </c>
      <c r="G377" s="21" t="inlineStr">
        <is>
          <t>Plan</t>
        </is>
      </c>
      <c r="H377" s="21" t="inlineStr">
        <is>
          <t>Commission</t>
        </is>
      </c>
      <c r="I377" s="21" t="inlineStr">
        <is>
          <t>Amount</t>
        </is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20.25" customHeight="1">
      <c r="A378" s="21" t="n">
        <v>9</v>
      </c>
      <c r="B378" s="21" t="n">
        <v>500000</v>
      </c>
      <c r="C378" s="21" t="n">
        <v>2000</v>
      </c>
      <c r="D378" s="21" t="n">
        <v>23000</v>
      </c>
      <c r="E378" s="4" t="n"/>
      <c r="F378" s="21" t="n">
        <v>9</v>
      </c>
      <c r="G378" s="21" t="n">
        <v>500000</v>
      </c>
      <c r="H378" s="21" t="n">
        <v>2000</v>
      </c>
      <c r="I378" s="21" t="n">
        <v>23000</v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20.25" customHeight="1">
      <c r="A379" s="21" t="n"/>
      <c r="B379" s="21" t="n"/>
      <c r="C379" s="21" t="n"/>
      <c r="D379" s="21" t="n"/>
      <c r="E379" s="4" t="n"/>
      <c r="F379" s="21" t="n"/>
      <c r="G379" s="21" t="n"/>
      <c r="H379" s="21" t="n"/>
      <c r="I379" s="2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20.25" customHeight="1">
      <c r="A380" s="21" t="n"/>
      <c r="B380" s="21" t="n"/>
      <c r="C380" s="21" t="n"/>
      <c r="D380" s="21" t="n"/>
      <c r="E380" s="4" t="n"/>
      <c r="F380" s="21" t="n"/>
      <c r="G380" s="21" t="n"/>
      <c r="H380" s="21" t="n"/>
      <c r="I380" s="2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20.25" customHeight="1">
      <c r="A381" s="21" t="n"/>
      <c r="B381" s="21" t="n"/>
      <c r="C381" s="21" t="n"/>
      <c r="D381" s="21" t="n"/>
      <c r="E381" s="4" t="n"/>
      <c r="F381" s="21" t="n"/>
      <c r="G381" s="21" t="n"/>
      <c r="H381" s="21" t="n"/>
      <c r="I381" s="2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20.25" customHeight="1">
      <c r="A382" s="21" t="n"/>
      <c r="B382" s="21" t="n"/>
      <c r="C382" s="21" t="n"/>
      <c r="D382" s="21" t="n"/>
      <c r="E382" s="4" t="n"/>
      <c r="F382" s="21" t="n"/>
      <c r="G382" s="21" t="n"/>
      <c r="H382" s="21" t="n"/>
      <c r="I382" s="2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20.25" customHeight="1">
      <c r="A383" s="21" t="inlineStr">
        <is>
          <t>Total Payable</t>
        </is>
      </c>
      <c r="B383" s="21" t="n"/>
      <c r="C383" s="21" t="n"/>
      <c r="D383" s="21" t="n">
        <v>23000</v>
      </c>
      <c r="E383" s="4" t="n"/>
      <c r="F383" s="21" t="inlineStr">
        <is>
          <t>Total Payable</t>
        </is>
      </c>
      <c r="I383" s="21" t="n">
        <v>23000</v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6.5" customHeight="1">
      <c r="A384" s="2" t="n"/>
      <c r="B384" s="2" t="n"/>
      <c r="C384" s="2" t="n"/>
      <c r="D384" s="2" t="n"/>
      <c r="E384" s="4" t="n"/>
      <c r="F384" s="2" t="n"/>
      <c r="G384" s="2" t="n"/>
      <c r="H384" s="2" t="n"/>
      <c r="I384" s="2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20.25" customHeight="1">
      <c r="A385" s="21" t="inlineStr">
        <is>
          <t>Name</t>
        </is>
      </c>
      <c r="B385" s="21" t="inlineStr">
        <is>
          <t>MISRILALJI</t>
        </is>
      </c>
      <c r="C385" s="21" t="inlineStr">
        <is>
          <t>SEC</t>
        </is>
      </c>
      <c r="D385" s="21" t="inlineStr">
        <is>
          <t>2026-01-04</t>
        </is>
      </c>
      <c r="E385" s="4" t="n"/>
      <c r="F385" s="21" t="inlineStr">
        <is>
          <t>Name</t>
        </is>
      </c>
      <c r="G385" s="21" t="inlineStr">
        <is>
          <t>MOTIJI</t>
        </is>
      </c>
      <c r="H385" s="21" t="inlineStr">
        <is>
          <t>MUSAPET</t>
        </is>
      </c>
      <c r="I385" s="21" t="inlineStr">
        <is>
          <t>2026-01-04</t>
        </is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20.25" customHeight="1">
      <c r="A386" s="21" t="inlineStr">
        <is>
          <t>Month</t>
        </is>
      </c>
      <c r="B386" s="21" t="inlineStr">
        <is>
          <t>Plan</t>
        </is>
      </c>
      <c r="C386" s="21" t="inlineStr">
        <is>
          <t>Commission</t>
        </is>
      </c>
      <c r="D386" s="21" t="inlineStr">
        <is>
          <t>Amount</t>
        </is>
      </c>
      <c r="E386" s="4" t="n"/>
      <c r="F386" s="21" t="inlineStr">
        <is>
          <t>Month</t>
        </is>
      </c>
      <c r="G386" s="21" t="inlineStr">
        <is>
          <t>Plan</t>
        </is>
      </c>
      <c r="H386" s="21" t="inlineStr">
        <is>
          <t>Commission</t>
        </is>
      </c>
      <c r="I386" s="21" t="inlineStr">
        <is>
          <t>Amount</t>
        </is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20.25" customHeight="1">
      <c r="A387" s="21" t="n">
        <v>20</v>
      </c>
      <c r="B387" s="21" t="n">
        <v>1000000</v>
      </c>
      <c r="C387" s="21" t="n">
        <v>0</v>
      </c>
      <c r="D387" s="21" t="n">
        <v>50000</v>
      </c>
      <c r="E387" s="4" t="n"/>
      <c r="F387" s="21" t="n">
        <v>14</v>
      </c>
      <c r="G387" s="21" t="n">
        <v>500000</v>
      </c>
      <c r="H387" s="21" t="n">
        <v>900</v>
      </c>
      <c r="I387" s="21" t="n">
        <v>24100</v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20.25" customHeight="1">
      <c r="A388" s="21" t="inlineStr">
        <is>
          <t>20.1</t>
        </is>
      </c>
      <c r="B388" s="21" t="n">
        <v>1000000</v>
      </c>
      <c r="C388" s="21" t="n">
        <v>0</v>
      </c>
      <c r="D388" s="21" t="n">
        <v>50000</v>
      </c>
      <c r="E388" s="4" t="n"/>
      <c r="F388" s="21" t="n"/>
      <c r="G388" s="21" t="n"/>
      <c r="H388" s="21" t="n"/>
      <c r="I388" s="2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20.25" customHeight="1">
      <c r="A389" s="21" t="n"/>
      <c r="B389" s="21" t="n"/>
      <c r="C389" s="21" t="n"/>
      <c r="D389" s="21" t="n"/>
      <c r="E389" s="4" t="n"/>
      <c r="F389" s="21" t="n"/>
      <c r="G389" s="21" t="n"/>
      <c r="H389" s="21" t="n"/>
      <c r="I389" s="2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20.25" customHeight="1">
      <c r="A390" s="21" t="n"/>
      <c r="B390" s="21" t="n"/>
      <c r="C390" s="21" t="n"/>
      <c r="D390" s="21" t="n"/>
      <c r="E390" s="4" t="n"/>
      <c r="F390" s="21" t="n"/>
      <c r="G390" s="21" t="n"/>
      <c r="H390" s="21" t="n"/>
      <c r="I390" s="2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20.25" customHeight="1">
      <c r="A391" s="21" t="n"/>
      <c r="B391" s="21" t="n"/>
      <c r="C391" s="21" t="n"/>
      <c r="D391" s="21" t="n"/>
      <c r="E391" s="4" t="n"/>
      <c r="F391" s="21" t="n"/>
      <c r="G391" s="21" t="n"/>
      <c r="H391" s="21" t="n"/>
      <c r="I391" s="2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20.25" customHeight="1">
      <c r="A392" s="14" t="inlineStr">
        <is>
          <t>TOTAL PAYABLE</t>
        </is>
      </c>
      <c r="B392" s="14" t="n"/>
      <c r="C392" s="14" t="n"/>
      <c r="D392" s="21" t="n">
        <v>100000</v>
      </c>
      <c r="E392" s="5" t="n"/>
      <c r="F392" s="21" t="inlineStr">
        <is>
          <t>Total Payable</t>
        </is>
      </c>
      <c r="I392" s="21" t="n">
        <v>24100</v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20.25" customHeight="1">
      <c r="A393" s="15" t="n"/>
      <c r="B393" s="15" t="n"/>
      <c r="C393" s="15" t="n"/>
      <c r="D393" s="21" t="n"/>
      <c r="E393" s="5" t="n"/>
      <c r="F393" s="15" t="n"/>
      <c r="G393" s="15" t="n"/>
      <c r="H393" s="15" t="n"/>
      <c r="I393" s="15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20.25" customHeight="1">
      <c r="A394" s="21" t="inlineStr">
        <is>
          <t>Name</t>
        </is>
      </c>
      <c r="B394" s="21" t="inlineStr">
        <is>
          <t>BAGDARAMJI</t>
        </is>
      </c>
      <c r="C394" s="21" t="inlineStr">
        <is>
          <t>GANDHINGR</t>
        </is>
      </c>
      <c r="D394" s="21" t="inlineStr">
        <is>
          <t>2026-01-04</t>
        </is>
      </c>
      <c r="E394" s="5" t="n"/>
      <c r="F394" s="21" t="inlineStr">
        <is>
          <t>Name</t>
        </is>
      </c>
      <c r="G394" s="21" t="inlineStr">
        <is>
          <t>KANJI</t>
        </is>
      </c>
      <c r="H394" s="21" t="inlineStr">
        <is>
          <t>SANGA RDY</t>
        </is>
      </c>
      <c r="I394" s="21" t="inlineStr">
        <is>
          <t>2026-01-04</t>
        </is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20.25" customHeight="1">
      <c r="A395" s="21" t="inlineStr">
        <is>
          <t>Month</t>
        </is>
      </c>
      <c r="B395" s="21" t="inlineStr">
        <is>
          <t>Plan</t>
        </is>
      </c>
      <c r="C395" s="21" t="inlineStr">
        <is>
          <t>Commission</t>
        </is>
      </c>
      <c r="D395" s="21" t="inlineStr">
        <is>
          <t>Amount</t>
        </is>
      </c>
      <c r="E395" s="5" t="n"/>
      <c r="F395" s="21" t="inlineStr">
        <is>
          <t>Month</t>
        </is>
      </c>
      <c r="G395" s="21" t="inlineStr">
        <is>
          <t>Plan</t>
        </is>
      </c>
      <c r="H395" s="21" t="inlineStr">
        <is>
          <t>Commission</t>
        </is>
      </c>
      <c r="I395" s="21" t="inlineStr">
        <is>
          <t>Amount</t>
        </is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20.25" customHeight="1">
      <c r="A396" s="21" t="n">
        <v>20</v>
      </c>
      <c r="B396" s="21" t="n">
        <v>1000000</v>
      </c>
      <c r="C396" s="21" t="n">
        <v>0</v>
      </c>
      <c r="D396" s="21" t="n">
        <v>50000</v>
      </c>
      <c r="E396" s="5" t="n"/>
      <c r="F396" s="21" t="n">
        <v>9</v>
      </c>
      <c r="G396" s="21" t="n">
        <v>1000000</v>
      </c>
      <c r="H396" s="21" t="n">
        <v>3250</v>
      </c>
      <c r="I396" s="21" t="n">
        <v>46750</v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20.25" customHeight="1">
      <c r="A397" s="21" t="n"/>
      <c r="B397" s="21" t="n"/>
      <c r="C397" s="21" t="n"/>
      <c r="D397" s="21" t="n"/>
      <c r="E397" s="5" t="n"/>
      <c r="F397" s="21" t="n"/>
      <c r="G397" s="21" t="n"/>
      <c r="H397" s="21" t="n"/>
      <c r="I397" s="2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20.25" customHeight="1">
      <c r="A398" s="21" t="n"/>
      <c r="B398" s="21" t="n"/>
      <c r="C398" s="21" t="n"/>
      <c r="D398" s="21" t="n"/>
      <c r="E398" s="5" t="n"/>
      <c r="F398" s="21" t="n"/>
      <c r="G398" s="21" t="n"/>
      <c r="H398" s="21" t="n"/>
      <c r="I398" s="2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20.25" customHeight="1">
      <c r="A399" s="21" t="n"/>
      <c r="B399" s="21" t="n"/>
      <c r="C399" s="21" t="n"/>
      <c r="D399" s="21" t="n"/>
      <c r="E399" s="5" t="n"/>
      <c r="F399" s="21" t="n"/>
      <c r="G399" s="21" t="n"/>
      <c r="H399" s="21" t="n"/>
      <c r="I399" s="2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20.25" customHeight="1">
      <c r="A400" s="21" t="n"/>
      <c r="B400" s="21" t="n"/>
      <c r="C400" s="21" t="n"/>
      <c r="D400" s="21" t="n"/>
      <c r="E400" s="5" t="n"/>
      <c r="F400" s="21" t="n"/>
      <c r="G400" s="21" t="n"/>
      <c r="H400" s="21" t="n"/>
      <c r="I400" s="2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20.25" customHeight="1">
      <c r="A401" s="14" t="inlineStr">
        <is>
          <t>TOTAL PAYABLE</t>
        </is>
      </c>
      <c r="B401" s="14" t="n"/>
      <c r="C401" s="14" t="n"/>
      <c r="D401" s="21" t="n">
        <v>50000</v>
      </c>
      <c r="E401" s="5" t="n"/>
      <c r="F401" s="21" t="inlineStr">
        <is>
          <t>Total Payable</t>
        </is>
      </c>
      <c r="I401" s="21" t="n">
        <v>46750</v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20.25" customHeight="1">
      <c r="A402" s="15" t="n"/>
      <c r="B402" s="15" t="n"/>
      <c r="C402" s="15" t="n"/>
      <c r="D402" s="15" t="n"/>
      <c r="E402" s="5" t="n"/>
      <c r="F402" s="21" t="n"/>
      <c r="G402" s="21" t="n"/>
      <c r="H402" s="21" t="n"/>
      <c r="I402" s="2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20.25" customHeight="1">
      <c r="A403" s="14" t="inlineStr">
        <is>
          <t>Name</t>
        </is>
      </c>
      <c r="B403" s="14" t="inlineStr">
        <is>
          <t>NEMARANJI</t>
        </is>
      </c>
      <c r="C403" s="14" t="inlineStr">
        <is>
          <t>INDERSUM</t>
        </is>
      </c>
      <c r="D403" s="21" t="inlineStr">
        <is>
          <t>2026-01-04</t>
        </is>
      </c>
      <c r="E403" s="5" t="n"/>
      <c r="F403" s="21" t="inlineStr">
        <is>
          <t>Name</t>
        </is>
      </c>
      <c r="G403" s="21" t="inlineStr">
        <is>
          <t>BUDARAMJI</t>
        </is>
      </c>
      <c r="H403" s="21" t="inlineStr">
        <is>
          <t>PADMA NR</t>
        </is>
      </c>
      <c r="I403" s="21" t="inlineStr">
        <is>
          <t>2026-01-04</t>
        </is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20.25" customHeight="1">
      <c r="A404" s="21" t="inlineStr">
        <is>
          <t>Month</t>
        </is>
      </c>
      <c r="B404" s="21" t="inlineStr">
        <is>
          <t>Plan</t>
        </is>
      </c>
      <c r="C404" s="21" t="inlineStr">
        <is>
          <t>Commission</t>
        </is>
      </c>
      <c r="D404" s="21" t="inlineStr">
        <is>
          <t>Amount</t>
        </is>
      </c>
      <c r="E404" s="5" t="n"/>
      <c r="F404" s="21" t="inlineStr">
        <is>
          <t>Month</t>
        </is>
      </c>
      <c r="G404" s="21" t="inlineStr">
        <is>
          <t>Plan</t>
        </is>
      </c>
      <c r="H404" s="21" t="inlineStr">
        <is>
          <t>Commission</t>
        </is>
      </c>
      <c r="I404" s="21" t="inlineStr">
        <is>
          <t>Amount</t>
        </is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20.25" customHeight="1">
      <c r="A405" s="21" t="inlineStr">
        <is>
          <t>20.1</t>
        </is>
      </c>
      <c r="B405" s="21" t="n">
        <v>1000000</v>
      </c>
      <c r="C405" s="21" t="n">
        <v>0</v>
      </c>
      <c r="D405" s="21" t="n">
        <v>50000</v>
      </c>
      <c r="E405" s="5" t="n"/>
      <c r="F405" s="21" t="n">
        <v>20</v>
      </c>
      <c r="G405" s="21" t="n">
        <v>500000</v>
      </c>
      <c r="H405" s="21" t="n">
        <v>0</v>
      </c>
      <c r="I405" s="21" t="n">
        <v>25000</v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20.25" customHeight="1">
      <c r="A406" s="21" t="n"/>
      <c r="B406" s="21" t="n"/>
      <c r="C406" s="21" t="n"/>
      <c r="D406" s="21" t="n"/>
      <c r="E406" s="5" t="n"/>
      <c r="F406" s="21" t="n">
        <v>4</v>
      </c>
      <c r="G406" s="21" t="n">
        <v>500000</v>
      </c>
      <c r="H406" s="21" t="n">
        <v>3250</v>
      </c>
      <c r="I406" s="21" t="n">
        <v>21750</v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20.25" customHeight="1">
      <c r="A407" s="21" t="n"/>
      <c r="B407" s="21" t="n"/>
      <c r="C407" s="21" t="n"/>
      <c r="D407" s="21" t="n"/>
      <c r="E407" s="5" t="n"/>
      <c r="F407" s="21" t="n"/>
      <c r="G407" s="21" t="n"/>
      <c r="H407" s="21" t="n"/>
      <c r="I407" s="2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20.25" customHeight="1">
      <c r="A408" s="21" t="n"/>
      <c r="B408" s="21" t="n"/>
      <c r="C408" s="21" t="n"/>
      <c r="D408" s="21" t="n"/>
      <c r="E408" s="5" t="n"/>
      <c r="F408" s="21" t="n"/>
      <c r="G408" s="21" t="n"/>
      <c r="H408" s="21" t="n"/>
      <c r="I408" s="2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20.25" customHeight="1">
      <c r="A409" s="21" t="n"/>
      <c r="B409" s="21" t="n"/>
      <c r="C409" s="21" t="n"/>
      <c r="D409" s="21" t="n"/>
      <c r="E409" s="5" t="n"/>
      <c r="F409" s="21" t="n"/>
      <c r="G409" s="21" t="n"/>
      <c r="H409" s="21" t="n"/>
      <c r="I409" s="2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20.25" customHeight="1">
      <c r="A410" s="14" t="inlineStr">
        <is>
          <t>TOTAL PAYABLE</t>
        </is>
      </c>
      <c r="B410" s="14" t="n"/>
      <c r="C410" s="14" t="n"/>
      <c r="D410" s="21" t="n">
        <v>50000</v>
      </c>
      <c r="E410" s="5" t="n"/>
      <c r="F410" s="21" t="inlineStr">
        <is>
          <t>Total Payable</t>
        </is>
      </c>
      <c r="I410" s="21" t="n">
        <v>46750</v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6.5" customHeight="1">
      <c r="A411" s="15" t="n"/>
      <c r="B411" s="15" t="n"/>
      <c r="C411" s="15" t="n"/>
      <c r="D411" s="15" t="n"/>
      <c r="E411" s="5" t="n"/>
      <c r="F411" s="15" t="n"/>
      <c r="G411" s="15" t="n"/>
      <c r="H411" s="15" t="n"/>
      <c r="I411" s="15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20.25" customHeight="1">
      <c r="A412" s="14" t="inlineStr">
        <is>
          <t>Name</t>
        </is>
      </c>
      <c r="B412" s="14" t="inlineStr">
        <is>
          <t>HEMANTJI</t>
        </is>
      </c>
      <c r="C412" s="14" t="inlineStr">
        <is>
          <t>SURARAM</t>
        </is>
      </c>
      <c r="D412" s="21" t="inlineStr">
        <is>
          <t>2026-01-04</t>
        </is>
      </c>
      <c r="E412" s="5" t="n"/>
      <c r="F412" s="21" t="inlineStr">
        <is>
          <t>Name</t>
        </is>
      </c>
      <c r="G412" s="21" t="inlineStr">
        <is>
          <t>KEWALJI</t>
        </is>
      </c>
      <c r="H412" s="21" t="inlineStr">
        <is>
          <t>GOMARAM</t>
        </is>
      </c>
      <c r="I412" s="21" t="inlineStr">
        <is>
          <t>2026-01-04</t>
        </is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20.25" customHeight="1">
      <c r="A413" s="21" t="inlineStr">
        <is>
          <t>Month</t>
        </is>
      </c>
      <c r="B413" s="21" t="inlineStr">
        <is>
          <t>Plan</t>
        </is>
      </c>
      <c r="C413" s="21" t="inlineStr">
        <is>
          <t>Commission</t>
        </is>
      </c>
      <c r="D413" s="21" t="inlineStr">
        <is>
          <t>Amount</t>
        </is>
      </c>
      <c r="E413" s="5" t="n"/>
      <c r="F413" s="21" t="inlineStr">
        <is>
          <t>Month</t>
        </is>
      </c>
      <c r="G413" s="21" t="inlineStr">
        <is>
          <t>Plan</t>
        </is>
      </c>
      <c r="H413" s="21" t="inlineStr">
        <is>
          <t>Commission</t>
        </is>
      </c>
      <c r="I413" s="21" t="inlineStr">
        <is>
          <t>Amount</t>
        </is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20.25" customHeight="1">
      <c r="A414" s="21" t="n">
        <v>9</v>
      </c>
      <c r="B414" s="21" t="n">
        <v>500000</v>
      </c>
      <c r="C414" s="21" t="n">
        <v>2000</v>
      </c>
      <c r="D414" s="21" t="n">
        <v>23000</v>
      </c>
      <c r="E414" s="5" t="n"/>
      <c r="F414" s="21" t="n">
        <v>4</v>
      </c>
      <c r="G414" s="21" t="n">
        <v>1000000</v>
      </c>
      <c r="H414" s="21" t="n">
        <v>7750</v>
      </c>
      <c r="I414" s="21" t="n">
        <v>42250</v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20.25" customHeight="1">
      <c r="A415" s="21" t="n"/>
      <c r="B415" s="21" t="n"/>
      <c r="C415" s="21" t="n"/>
      <c r="D415" s="21" t="n"/>
      <c r="E415" s="5" t="n"/>
      <c r="F415" s="21" t="n"/>
      <c r="G415" s="21" t="n"/>
      <c r="H415" s="21" t="n"/>
      <c r="I415" s="2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20.25" customHeight="1">
      <c r="A416" s="21" t="n"/>
      <c r="B416" s="21" t="n"/>
      <c r="C416" s="21" t="n"/>
      <c r="D416" s="21" t="n"/>
      <c r="E416" s="5" t="n"/>
      <c r="F416" s="21" t="n"/>
      <c r="G416" s="21" t="n"/>
      <c r="H416" s="21" t="n"/>
      <c r="I416" s="2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20.25" customHeight="1">
      <c r="A417" s="21" t="n"/>
      <c r="B417" s="21" t="n"/>
      <c r="C417" s="21" t="n"/>
      <c r="D417" s="21" t="n"/>
      <c r="E417" s="5" t="n"/>
      <c r="F417" s="21" t="n"/>
      <c r="G417" s="21" t="n"/>
      <c r="H417" s="21" t="n"/>
      <c r="I417" s="2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20.25" customHeight="1">
      <c r="A418" s="21" t="n"/>
      <c r="B418" s="21" t="n"/>
      <c r="C418" s="21" t="n"/>
      <c r="D418" s="21" t="n"/>
      <c r="E418" s="5" t="n"/>
      <c r="F418" s="21" t="n"/>
      <c r="G418" s="21" t="n"/>
      <c r="H418" s="21" t="n"/>
      <c r="I418" s="2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20.25" customHeight="1">
      <c r="A419" s="14" t="inlineStr">
        <is>
          <t>TOTAL PAYABLE</t>
        </is>
      </c>
      <c r="B419" s="14" t="n"/>
      <c r="C419" s="14" t="n"/>
      <c r="D419" s="21" t="n">
        <v>23000</v>
      </c>
      <c r="E419" s="5" t="n"/>
      <c r="F419" s="21" t="inlineStr">
        <is>
          <t>Total Payable</t>
        </is>
      </c>
      <c r="I419" s="21" t="n">
        <v>42250</v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6.5" customHeight="1">
      <c r="A420" s="15" t="n"/>
      <c r="B420" s="15" t="n"/>
      <c r="C420" s="15" t="n"/>
      <c r="D420" s="15" t="n"/>
      <c r="E420" s="5" t="n"/>
      <c r="F420" s="15" t="n"/>
      <c r="G420" s="15" t="n"/>
      <c r="H420" s="15" t="n"/>
      <c r="I420" s="15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20.25" customHeight="1">
      <c r="A421" s="14" t="inlineStr">
        <is>
          <t>Name</t>
        </is>
      </c>
      <c r="B421" s="14" t="inlineStr">
        <is>
          <t>RAJUJI</t>
        </is>
      </c>
      <c r="C421" s="14" t="inlineStr">
        <is>
          <t>SHAPUR</t>
        </is>
      </c>
      <c r="D421" s="21" t="inlineStr">
        <is>
          <t>2026-01-04</t>
        </is>
      </c>
      <c r="E421" s="5" t="n"/>
      <c r="F421" s="14" t="inlineStr">
        <is>
          <t>Name</t>
        </is>
      </c>
      <c r="G421" s="14" t="inlineStr">
        <is>
          <t>SESHARAMJI</t>
        </is>
      </c>
      <c r="H421" s="14" t="inlineStr">
        <is>
          <t>J GUTTA</t>
        </is>
      </c>
      <c r="I421" s="21" t="inlineStr">
        <is>
          <t>2026-01-04</t>
        </is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20.25" customHeight="1">
      <c r="A422" s="21" t="inlineStr">
        <is>
          <t>Month</t>
        </is>
      </c>
      <c r="B422" s="21" t="inlineStr">
        <is>
          <t>Plan</t>
        </is>
      </c>
      <c r="C422" s="21" t="inlineStr">
        <is>
          <t>Commission</t>
        </is>
      </c>
      <c r="D422" s="21" t="inlineStr">
        <is>
          <t>Amount</t>
        </is>
      </c>
      <c r="E422" s="5" t="n"/>
      <c r="F422" s="21" t="inlineStr">
        <is>
          <t>Month</t>
        </is>
      </c>
      <c r="G422" s="21" t="inlineStr">
        <is>
          <t>Plan</t>
        </is>
      </c>
      <c r="H422" s="21" t="inlineStr">
        <is>
          <t>Commission</t>
        </is>
      </c>
      <c r="I422" s="21" t="inlineStr">
        <is>
          <t>Amount</t>
        </is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20.25" customHeight="1">
      <c r="A423" s="21" t="n">
        <v>9</v>
      </c>
      <c r="B423" s="21" t="n">
        <v>1000000</v>
      </c>
      <c r="C423" s="21" t="n">
        <v>3250</v>
      </c>
      <c r="D423" s="21" t="n">
        <v>46750</v>
      </c>
      <c r="E423" s="5" t="n"/>
      <c r="F423" s="21" t="n">
        <v>9</v>
      </c>
      <c r="G423" s="21" t="n">
        <v>2000000</v>
      </c>
      <c r="H423" s="21" t="n">
        <v>7000</v>
      </c>
      <c r="I423" s="21" t="n">
        <v>93000</v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20.25" customHeight="1">
      <c r="A424" s="21" t="n"/>
      <c r="B424" s="21" t="n"/>
      <c r="C424" s="21" t="n"/>
      <c r="D424" s="21" t="n"/>
      <c r="E424" s="5" t="n"/>
      <c r="F424" s="21" t="n"/>
      <c r="G424" s="21" t="n"/>
      <c r="H424" s="21" t="n"/>
      <c r="I424" s="2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20.25" customHeight="1">
      <c r="A425" s="21" t="n"/>
      <c r="B425" s="21" t="n"/>
      <c r="C425" s="21" t="n"/>
      <c r="D425" s="21" t="n"/>
      <c r="E425" s="5" t="n"/>
      <c r="F425" s="21" t="n"/>
      <c r="G425" s="21" t="n"/>
      <c r="H425" s="21" t="n"/>
      <c r="I425" s="2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20.25" customHeight="1">
      <c r="A426" s="21" t="n"/>
      <c r="B426" s="21" t="n"/>
      <c r="C426" s="21" t="n"/>
      <c r="D426" s="21" t="n"/>
      <c r="E426" s="5" t="n"/>
      <c r="F426" s="21" t="n"/>
      <c r="G426" s="21" t="n"/>
      <c r="H426" s="21" t="n"/>
      <c r="I426" s="2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20.25" customHeight="1">
      <c r="A427" s="21" t="n"/>
      <c r="B427" s="21" t="n"/>
      <c r="C427" s="21" t="n"/>
      <c r="D427" s="21" t="n"/>
      <c r="E427" s="5" t="n"/>
      <c r="F427" s="21" t="n"/>
      <c r="G427" s="21" t="n"/>
      <c r="H427" s="21" t="n"/>
      <c r="I427" s="2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20.25" customHeight="1">
      <c r="A428" s="14" t="inlineStr">
        <is>
          <t>TOTAL PAYABLE</t>
        </is>
      </c>
      <c r="B428" s="14" t="n"/>
      <c r="C428" s="14" t="n"/>
      <c r="D428" s="21" t="n">
        <v>46750</v>
      </c>
      <c r="E428" s="5" t="n"/>
      <c r="F428" s="14" t="inlineStr">
        <is>
          <t>TOTAL PAYABLE</t>
        </is>
      </c>
      <c r="I428" s="21" t="n">
        <v>93000</v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6.5" customHeight="1">
      <c r="A429" s="15" t="n"/>
      <c r="B429" s="15" t="n"/>
      <c r="C429" s="15" t="n"/>
      <c r="D429" s="15" t="n"/>
      <c r="E429" s="5" t="n"/>
      <c r="F429" s="15" t="n"/>
      <c r="G429" s="15" t="n"/>
      <c r="H429" s="15" t="n"/>
      <c r="I429" s="15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20.25" customHeight="1">
      <c r="A430" s="14" t="inlineStr">
        <is>
          <t>Name</t>
        </is>
      </c>
      <c r="B430" s="14" t="inlineStr">
        <is>
          <t>GOUTAMJI</t>
        </is>
      </c>
      <c r="C430" s="14" t="inlineStr">
        <is>
          <t>RAMARAM</t>
        </is>
      </c>
      <c r="D430" s="21" t="inlineStr">
        <is>
          <t>2026-01-04</t>
        </is>
      </c>
      <c r="E430" s="5" t="n"/>
      <c r="F430" s="14" t="inlineStr">
        <is>
          <t>Name</t>
        </is>
      </c>
      <c r="G430" s="14" t="inlineStr">
        <is>
          <t>PRAKASHJI</t>
        </is>
      </c>
      <c r="H430" s="14" t="inlineStr">
        <is>
          <t>INDARSAM</t>
        </is>
      </c>
      <c r="I430" s="21" t="inlineStr">
        <is>
          <t>2026-01-04</t>
        </is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20.25" customHeight="1">
      <c r="A431" s="21" t="inlineStr">
        <is>
          <t>Month</t>
        </is>
      </c>
      <c r="B431" s="21" t="inlineStr">
        <is>
          <t>Plan</t>
        </is>
      </c>
      <c r="C431" s="21" t="inlineStr">
        <is>
          <t>Commission</t>
        </is>
      </c>
      <c r="D431" s="21" t="inlineStr">
        <is>
          <t>Amount</t>
        </is>
      </c>
      <c r="E431" s="5" t="n"/>
      <c r="F431" s="21" t="inlineStr">
        <is>
          <t>Month</t>
        </is>
      </c>
      <c r="G431" s="21" t="inlineStr">
        <is>
          <t>Plan</t>
        </is>
      </c>
      <c r="H431" s="21" t="inlineStr">
        <is>
          <t>Commission</t>
        </is>
      </c>
      <c r="I431" s="21" t="inlineStr">
        <is>
          <t>Amount</t>
        </is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20.25" customHeight="1">
      <c r="A432" s="21" t="n">
        <v>9</v>
      </c>
      <c r="B432" s="21" t="n">
        <v>1000000</v>
      </c>
      <c r="C432" s="21" t="n">
        <v>3250</v>
      </c>
      <c r="D432" s="21" t="n">
        <v>46750</v>
      </c>
      <c r="E432" s="5" t="n"/>
      <c r="F432" s="21" t="n">
        <v>9</v>
      </c>
      <c r="G432" s="21" t="n">
        <v>1000000</v>
      </c>
      <c r="H432" s="21" t="n">
        <v>3250</v>
      </c>
      <c r="I432" s="21" t="n">
        <v>46750</v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20.25" customHeight="1">
      <c r="A433" s="21" t="n"/>
      <c r="B433" s="21" t="n"/>
      <c r="C433" s="21" t="n"/>
      <c r="D433" s="21" t="n"/>
      <c r="E433" s="5" t="n"/>
      <c r="F433" s="21" t="n"/>
      <c r="G433" s="21" t="n"/>
      <c r="H433" s="21" t="n"/>
      <c r="I433" s="2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20.25" customHeight="1">
      <c r="A434" s="21" t="n"/>
      <c r="B434" s="21" t="n"/>
      <c r="C434" s="21" t="n"/>
      <c r="D434" s="21" t="n"/>
      <c r="E434" s="5" t="n"/>
      <c r="F434" s="21" t="n"/>
      <c r="G434" s="21" t="n"/>
      <c r="H434" s="21" t="n"/>
      <c r="I434" s="2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20.25" customHeight="1">
      <c r="A435" s="21" t="n"/>
      <c r="B435" s="21" t="n"/>
      <c r="C435" s="21" t="n"/>
      <c r="D435" s="21" t="n"/>
      <c r="E435" s="5" t="n"/>
      <c r="F435" s="21" t="n"/>
      <c r="G435" s="21" t="n"/>
      <c r="H435" s="21" t="n"/>
      <c r="I435" s="2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20.25" customHeight="1">
      <c r="A436" s="21" t="n"/>
      <c r="B436" s="21" t="n"/>
      <c r="C436" s="21" t="n"/>
      <c r="D436" s="21" t="n"/>
      <c r="E436" s="5" t="n"/>
      <c r="F436" s="21" t="n"/>
      <c r="G436" s="21" t="n"/>
      <c r="H436" s="21" t="n"/>
      <c r="I436" s="2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20.25" customHeight="1">
      <c r="A437" s="14" t="inlineStr">
        <is>
          <t>TOTAL PAYABLE</t>
        </is>
      </c>
      <c r="B437" s="14" t="n"/>
      <c r="C437" s="14" t="n"/>
      <c r="D437" s="21" t="n">
        <v>46750</v>
      </c>
      <c r="E437" s="5" t="n"/>
      <c r="F437" s="14" t="inlineStr">
        <is>
          <t>TOTAL PAYABLE</t>
        </is>
      </c>
      <c r="I437" s="21" t="n">
        <v>46750</v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20.25" customHeight="1">
      <c r="A438" s="15" t="n"/>
      <c r="B438" s="14" t="n"/>
      <c r="C438" s="15" t="n"/>
      <c r="D438" s="21" t="n"/>
      <c r="E438" s="5" t="n"/>
      <c r="F438" s="15" t="n"/>
      <c r="G438" s="15" t="n"/>
      <c r="H438" s="15" t="n"/>
      <c r="I438" s="15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20.25" customHeight="1">
      <c r="A439" s="14" t="inlineStr">
        <is>
          <t>Name</t>
        </is>
      </c>
      <c r="B439" s="14" t="inlineStr">
        <is>
          <t>BHERARAMJI</t>
        </is>
      </c>
      <c r="C439" s="14" t="inlineStr">
        <is>
          <t>SURARAM</t>
        </is>
      </c>
      <c r="D439" s="21" t="inlineStr">
        <is>
          <t>2026-01-04</t>
        </is>
      </c>
      <c r="E439" s="5" t="n"/>
      <c r="F439" s="14" t="inlineStr">
        <is>
          <t>Name</t>
        </is>
      </c>
      <c r="G439" s="14" t="inlineStr">
        <is>
          <t>TARJI (R J)</t>
        </is>
      </c>
      <c r="H439" s="14" t="inlineStr">
        <is>
          <t>SURARAM</t>
        </is>
      </c>
      <c r="I439" s="21" t="inlineStr">
        <is>
          <t>2026-01-04</t>
        </is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20.25" customHeight="1">
      <c r="A440" s="21" t="inlineStr">
        <is>
          <t>Month</t>
        </is>
      </c>
      <c r="B440" s="21" t="inlineStr">
        <is>
          <t>Plan</t>
        </is>
      </c>
      <c r="C440" s="21" t="inlineStr">
        <is>
          <t>Commission</t>
        </is>
      </c>
      <c r="D440" s="21" t="inlineStr">
        <is>
          <t>Amount</t>
        </is>
      </c>
      <c r="E440" s="5" t="n"/>
      <c r="F440" s="21" t="inlineStr">
        <is>
          <t>Month</t>
        </is>
      </c>
      <c r="G440" s="21" t="inlineStr">
        <is>
          <t>Plan</t>
        </is>
      </c>
      <c r="H440" s="21" t="inlineStr">
        <is>
          <t>Commission</t>
        </is>
      </c>
      <c r="I440" s="21" t="inlineStr">
        <is>
          <t>Amount</t>
        </is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20.25" customHeight="1">
      <c r="A441" s="21" t="n">
        <v>4</v>
      </c>
      <c r="B441" s="21" t="n">
        <v>500000</v>
      </c>
      <c r="C441" s="21" t="n">
        <v>3250</v>
      </c>
      <c r="D441" s="21" t="n">
        <v>21750</v>
      </c>
      <c r="E441" s="5" t="n"/>
      <c r="F441" s="21" t="n">
        <v>9</v>
      </c>
      <c r="G441" s="21" t="n">
        <v>2000000</v>
      </c>
      <c r="H441" s="21" t="n">
        <v>7000</v>
      </c>
      <c r="I441" s="21" t="n">
        <v>93000</v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20.25" customHeight="1">
      <c r="A442" s="21" t="n"/>
      <c r="B442" s="21" t="n"/>
      <c r="C442" s="21" t="n"/>
      <c r="D442" s="21" t="n"/>
      <c r="E442" s="5" t="n"/>
      <c r="F442" s="21" t="n"/>
      <c r="G442" s="21" t="n"/>
      <c r="H442" s="21" t="n"/>
      <c r="I442" s="2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20.25" customHeight="1">
      <c r="A443" s="21" t="n"/>
      <c r="B443" s="21" t="n"/>
      <c r="C443" s="21" t="n"/>
      <c r="D443" s="21" t="n"/>
      <c r="E443" s="5" t="n"/>
      <c r="F443" s="21" t="n"/>
      <c r="G443" s="21" t="n"/>
      <c r="H443" s="21" t="n"/>
      <c r="I443" s="2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20.25" customHeight="1">
      <c r="A444" s="21" t="n"/>
      <c r="B444" s="21" t="n"/>
      <c r="C444" s="21" t="n"/>
      <c r="D444" s="21" t="n"/>
      <c r="E444" s="5" t="n"/>
      <c r="F444" s="21" t="n"/>
      <c r="G444" s="21" t="n"/>
      <c r="H444" s="21" t="n"/>
      <c r="I444" s="2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20.25" customHeight="1">
      <c r="A445" s="21" t="n"/>
      <c r="B445" s="21" t="n"/>
      <c r="C445" s="21" t="n"/>
      <c r="D445" s="21" t="n"/>
      <c r="E445" s="5" t="n"/>
      <c r="F445" s="21" t="n"/>
      <c r="G445" s="21" t="n"/>
      <c r="H445" s="21" t="n"/>
      <c r="I445" s="2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20.25" customHeight="1">
      <c r="A446" s="14" t="inlineStr">
        <is>
          <t>TOTAL PAYABLE</t>
        </is>
      </c>
      <c r="B446" s="14" t="n"/>
      <c r="C446" s="14" t="n"/>
      <c r="D446" s="21" t="n">
        <v>21750</v>
      </c>
      <c r="E446" s="5" t="n"/>
      <c r="F446" s="14" t="inlineStr">
        <is>
          <t>TOTAL PAYABLE</t>
        </is>
      </c>
      <c r="I446" s="21" t="n">
        <v>93000</v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20.25" customHeight="1">
      <c r="A447" s="15" t="n"/>
      <c r="B447" s="15" t="n"/>
      <c r="C447" s="15" t="n"/>
      <c r="D447" s="15" t="n"/>
      <c r="E447" s="5" t="n"/>
      <c r="F447" s="15" t="n"/>
      <c r="G447" s="14" t="n"/>
      <c r="H447" s="15" t="n"/>
      <c r="I447" s="2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20.25" customHeight="1">
      <c r="A448" s="14" t="inlineStr">
        <is>
          <t>Name</t>
        </is>
      </c>
      <c r="B448" s="14" t="inlineStr">
        <is>
          <t>MISRILALJI</t>
        </is>
      </c>
      <c r="C448" s="14" t="inlineStr">
        <is>
          <t>GUTTA</t>
        </is>
      </c>
      <c r="D448" s="21" t="inlineStr">
        <is>
          <t>2026-01-04</t>
        </is>
      </c>
      <c r="E448" s="5" t="n"/>
      <c r="F448" s="14" t="inlineStr">
        <is>
          <t>Name</t>
        </is>
      </c>
      <c r="G448" s="14" t="inlineStr">
        <is>
          <t>RAKESHDASHJI</t>
        </is>
      </c>
      <c r="H448" s="14" t="inlineStr">
        <is>
          <t>GUTTA</t>
        </is>
      </c>
      <c r="I448" s="21" t="inlineStr">
        <is>
          <t>2026-01-04</t>
        </is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20.25" customHeight="1">
      <c r="A449" s="21" t="inlineStr">
        <is>
          <t>Month</t>
        </is>
      </c>
      <c r="B449" s="21" t="inlineStr">
        <is>
          <t>Plan</t>
        </is>
      </c>
      <c r="C449" s="21" t="inlineStr">
        <is>
          <t>Commission</t>
        </is>
      </c>
      <c r="D449" s="21" t="inlineStr">
        <is>
          <t>Amount</t>
        </is>
      </c>
      <c r="E449" s="5" t="n"/>
      <c r="F449" s="21" t="inlineStr">
        <is>
          <t>Month</t>
        </is>
      </c>
      <c r="G449" s="21" t="inlineStr">
        <is>
          <t>Plan</t>
        </is>
      </c>
      <c r="H449" s="21" t="inlineStr">
        <is>
          <t>Commission</t>
        </is>
      </c>
      <c r="I449" s="21" t="inlineStr">
        <is>
          <t>Amount</t>
        </is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20.25" customHeight="1">
      <c r="A450" s="21" t="n">
        <v>4</v>
      </c>
      <c r="B450" s="21" t="n">
        <v>1000000</v>
      </c>
      <c r="C450" s="21" t="n">
        <v>7750</v>
      </c>
      <c r="D450" s="21" t="n">
        <v>42250</v>
      </c>
      <c r="E450" s="5" t="n"/>
      <c r="F450" s="21" t="inlineStr">
        <is>
          <t>4.1</t>
        </is>
      </c>
      <c r="G450" s="21" t="n">
        <v>1000000</v>
      </c>
      <c r="H450" s="21" t="n">
        <v>7700</v>
      </c>
      <c r="I450" s="21" t="n">
        <v>42300</v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20.25" customHeight="1">
      <c r="A451" s="21" t="n"/>
      <c r="B451" s="21" t="n"/>
      <c r="C451" s="21" t="n"/>
      <c r="D451" s="21" t="n"/>
      <c r="E451" s="5" t="n"/>
      <c r="F451" s="21" t="n"/>
      <c r="G451" s="21" t="n"/>
      <c r="H451" s="21" t="n"/>
      <c r="I451" s="2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20.25" customHeight="1">
      <c r="A452" s="21" t="n"/>
      <c r="B452" s="21" t="n"/>
      <c r="C452" s="21" t="n"/>
      <c r="D452" s="21" t="n"/>
      <c r="E452" s="5" t="n"/>
      <c r="F452" s="21" t="n"/>
      <c r="G452" s="21" t="n"/>
      <c r="H452" s="21" t="n"/>
      <c r="I452" s="2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20.25" customHeight="1">
      <c r="A453" s="21" t="n"/>
      <c r="B453" s="21" t="n"/>
      <c r="C453" s="21" t="n"/>
      <c r="D453" s="21" t="n"/>
      <c r="E453" s="5" t="n"/>
      <c r="F453" s="21" t="n"/>
      <c r="G453" s="21" t="n"/>
      <c r="H453" s="21" t="n"/>
      <c r="I453" s="2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20.25" customHeight="1">
      <c r="A454" s="21" t="n"/>
      <c r="B454" s="21" t="n"/>
      <c r="C454" s="21" t="n"/>
      <c r="D454" s="21" t="n"/>
      <c r="E454" s="5" t="n"/>
      <c r="F454" s="21" t="n"/>
      <c r="G454" s="21" t="n"/>
      <c r="H454" s="21" t="n"/>
      <c r="I454" s="2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20.25" customHeight="1">
      <c r="A455" s="14" t="inlineStr">
        <is>
          <t>TOTAL PAYABLE</t>
        </is>
      </c>
      <c r="B455" s="14" t="n"/>
      <c r="C455" s="14" t="n"/>
      <c r="D455" s="21" t="n">
        <v>42250</v>
      </c>
      <c r="E455" s="5" t="n"/>
      <c r="F455" s="14" t="inlineStr">
        <is>
          <t>TOTAL PAYABLE</t>
        </is>
      </c>
      <c r="I455" s="21" t="n">
        <v>42300</v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6.5" customHeight="1">
      <c r="A456" s="15" t="n"/>
      <c r="B456" s="15" t="n"/>
      <c r="C456" s="15" t="n"/>
      <c r="D456" s="15" t="n"/>
      <c r="E456" s="5" t="n"/>
      <c r="F456" s="15" t="n"/>
      <c r="G456" s="15" t="n"/>
      <c r="H456" s="15" t="n"/>
      <c r="I456" s="15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20.25" customHeight="1">
      <c r="A457" s="14" t="inlineStr">
        <is>
          <t>Name</t>
        </is>
      </c>
      <c r="B457" s="14" t="inlineStr">
        <is>
          <t>RAMESHJI</t>
        </is>
      </c>
      <c r="C457" s="14" t="inlineStr">
        <is>
          <t>BOOK GUTA</t>
        </is>
      </c>
      <c r="D457" s="21" t="inlineStr">
        <is>
          <t>2026-01-04</t>
        </is>
      </c>
      <c r="E457" s="5" t="n"/>
      <c r="F457" s="14" t="inlineStr">
        <is>
          <t>Name</t>
        </is>
      </c>
      <c r="G457" s="14" t="inlineStr">
        <is>
          <t>HEERJI</t>
        </is>
      </c>
      <c r="H457" s="14" t="inlineStr">
        <is>
          <t>HANUMAN NG</t>
        </is>
      </c>
      <c r="I457" s="21" t="inlineStr">
        <is>
          <t>2026-01-04</t>
        </is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20.25" customHeight="1">
      <c r="A458" s="21" t="inlineStr">
        <is>
          <t>Month</t>
        </is>
      </c>
      <c r="B458" s="21" t="inlineStr">
        <is>
          <t>Plan</t>
        </is>
      </c>
      <c r="C458" s="21" t="inlineStr">
        <is>
          <t>Commission</t>
        </is>
      </c>
      <c r="D458" s="21" t="inlineStr">
        <is>
          <t>Amount</t>
        </is>
      </c>
      <c r="E458" s="5" t="n"/>
      <c r="F458" s="21" t="inlineStr">
        <is>
          <t>Month</t>
        </is>
      </c>
      <c r="G458" s="21" t="inlineStr">
        <is>
          <t>Plan</t>
        </is>
      </c>
      <c r="H458" s="21" t="inlineStr">
        <is>
          <t>Commission</t>
        </is>
      </c>
      <c r="I458" s="21" t="inlineStr">
        <is>
          <t>Amount</t>
        </is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20.25" customHeight="1">
      <c r="A459" s="21" t="n">
        <v>20</v>
      </c>
      <c r="B459" s="21" t="n">
        <v>500000</v>
      </c>
      <c r="C459" s="21" t="n">
        <v>0</v>
      </c>
      <c r="D459" s="21" t="n">
        <v>25000</v>
      </c>
      <c r="E459" s="5" t="n"/>
      <c r="F459" s="21" t="n">
        <v>9</v>
      </c>
      <c r="G459" s="21" t="n">
        <v>1000000</v>
      </c>
      <c r="H459" s="21" t="n">
        <v>3250</v>
      </c>
      <c r="I459" s="21" t="n">
        <v>46750</v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20.25" customHeight="1">
      <c r="A460" s="21" t="n">
        <v>9</v>
      </c>
      <c r="B460" s="21" t="n">
        <v>1000000</v>
      </c>
      <c r="C460" s="21" t="n">
        <v>3250</v>
      </c>
      <c r="D460" s="21" t="n">
        <v>46750</v>
      </c>
      <c r="E460" s="5" t="n"/>
      <c r="F460" s="21" t="n"/>
      <c r="G460" s="21" t="n"/>
      <c r="H460" s="21" t="n"/>
      <c r="I460" s="2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20.25" customHeight="1">
      <c r="A461" s="21" t="n"/>
      <c r="B461" s="21" t="n"/>
      <c r="C461" s="21" t="n"/>
      <c r="D461" s="21" t="n"/>
      <c r="E461" s="5" t="n"/>
      <c r="F461" s="21" t="n"/>
      <c r="G461" s="21" t="n"/>
      <c r="H461" s="21" t="n"/>
      <c r="I461" s="2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20.25" customHeight="1">
      <c r="A462" s="21" t="n"/>
      <c r="B462" s="21" t="n"/>
      <c r="C462" s="21" t="n"/>
      <c r="D462" s="21" t="n"/>
      <c r="E462" s="5" t="n"/>
      <c r="F462" s="21" t="n"/>
      <c r="G462" s="21" t="n"/>
      <c r="H462" s="21" t="n"/>
      <c r="I462" s="2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20.25" customHeight="1">
      <c r="A463" s="21" t="n"/>
      <c r="B463" s="21" t="n"/>
      <c r="C463" s="21" t="n"/>
      <c r="D463" s="21" t="n"/>
      <c r="E463" s="5" t="n"/>
      <c r="F463" s="21" t="n"/>
      <c r="G463" s="21" t="n"/>
      <c r="H463" s="21" t="n"/>
      <c r="I463" s="2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20.25" customHeight="1">
      <c r="A464" s="14" t="inlineStr">
        <is>
          <t>TOTAL PAYABLE</t>
        </is>
      </c>
      <c r="B464" s="14" t="n"/>
      <c r="C464" s="14" t="n"/>
      <c r="D464" s="21" t="n">
        <v>71750</v>
      </c>
      <c r="E464" s="5" t="n"/>
      <c r="F464" s="14" t="inlineStr">
        <is>
          <t>TOTAL PAYABLE</t>
        </is>
      </c>
      <c r="I464" s="21" t="n">
        <v>46750</v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6.5" customHeight="1">
      <c r="A465" s="15" t="n"/>
      <c r="B465" s="15" t="n"/>
      <c r="C465" s="15" t="n"/>
      <c r="D465" s="15" t="n"/>
      <c r="E465" s="5" t="n"/>
      <c r="F465" s="15" t="n"/>
      <c r="G465" s="15" t="n"/>
      <c r="H465" s="15" t="n"/>
      <c r="I465" s="15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20.25" customHeight="1">
      <c r="A466" s="14" t="inlineStr">
        <is>
          <t>Name</t>
        </is>
      </c>
      <c r="B466" s="14" t="inlineStr">
        <is>
          <t>VALARAMJI</t>
        </is>
      </c>
      <c r="C466" s="14" t="inlineStr">
        <is>
          <t>CHINTAL</t>
        </is>
      </c>
      <c r="D466" s="21" t="inlineStr">
        <is>
          <t>2026-01-04</t>
        </is>
      </c>
      <c r="E466" s="5" t="n"/>
      <c r="F466" s="14" t="inlineStr">
        <is>
          <t>Name</t>
        </is>
      </c>
      <c r="G466" s="14" t="inlineStr">
        <is>
          <t>NEMARAMJI</t>
        </is>
      </c>
      <c r="H466" s="14" t="inlineStr">
        <is>
          <t>KOMPALY</t>
        </is>
      </c>
      <c r="I466" s="21" t="inlineStr">
        <is>
          <t>2026-01-04</t>
        </is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20.25" customHeight="1">
      <c r="A467" s="21" t="inlineStr">
        <is>
          <t>Month</t>
        </is>
      </c>
      <c r="B467" s="21" t="inlineStr">
        <is>
          <t>Plan</t>
        </is>
      </c>
      <c r="C467" s="21" t="inlineStr">
        <is>
          <t>Commission</t>
        </is>
      </c>
      <c r="D467" s="21" t="inlineStr">
        <is>
          <t>Amount</t>
        </is>
      </c>
      <c r="E467" s="5" t="n"/>
      <c r="F467" s="21" t="inlineStr">
        <is>
          <t>Month</t>
        </is>
      </c>
      <c r="G467" s="21" t="inlineStr">
        <is>
          <t>Plan</t>
        </is>
      </c>
      <c r="H467" s="21" t="inlineStr">
        <is>
          <t>Commission</t>
        </is>
      </c>
      <c r="I467" s="21" t="inlineStr">
        <is>
          <t>Amount</t>
        </is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20.25" customHeight="1">
      <c r="A468" s="21" t="n">
        <v>20</v>
      </c>
      <c r="B468" s="21" t="n">
        <v>1000000</v>
      </c>
      <c r="C468" s="21" t="n">
        <v>0</v>
      </c>
      <c r="D468" s="21" t="n">
        <v>50000</v>
      </c>
      <c r="E468" s="5" t="n"/>
      <c r="F468" s="21" t="n">
        <v>20</v>
      </c>
      <c r="G468" s="21" t="n">
        <v>1000000</v>
      </c>
      <c r="H468" s="21" t="n">
        <v>0</v>
      </c>
      <c r="I468" s="21" t="n">
        <v>50000</v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20.25" customHeight="1">
      <c r="A469" s="21" t="n">
        <v>4</v>
      </c>
      <c r="B469" s="21" t="n">
        <v>1000000</v>
      </c>
      <c r="C469" s="21" t="n">
        <v>7750</v>
      </c>
      <c r="D469" s="21" t="n">
        <v>42250</v>
      </c>
      <c r="E469" s="5" t="n"/>
      <c r="F469" s="21" t="n"/>
      <c r="G469" s="21" t="n"/>
      <c r="H469" s="21" t="n"/>
      <c r="I469" s="2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20.25" customHeight="1">
      <c r="A470" s="21" t="n"/>
      <c r="B470" s="21" t="n"/>
      <c r="C470" s="21" t="n"/>
      <c r="D470" s="21" t="n"/>
      <c r="E470" s="5" t="n"/>
      <c r="F470" s="21" t="n"/>
      <c r="G470" s="21" t="n"/>
      <c r="H470" s="21" t="n"/>
      <c r="I470" s="2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20.25" customHeight="1">
      <c r="A471" s="21" t="n"/>
      <c r="B471" s="21" t="n"/>
      <c r="C471" s="21" t="n"/>
      <c r="D471" s="21" t="n"/>
      <c r="E471" s="5" t="n"/>
      <c r="F471" s="21" t="n"/>
      <c r="G471" s="21" t="n"/>
      <c r="H471" s="21" t="n"/>
      <c r="I471" s="2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20.25" customHeight="1">
      <c r="A472" s="21" t="n"/>
      <c r="B472" s="21" t="n"/>
      <c r="C472" s="21" t="n"/>
      <c r="D472" s="21" t="n"/>
      <c r="E472" s="5" t="n"/>
      <c r="F472" s="21" t="n"/>
      <c r="G472" s="21" t="n"/>
      <c r="H472" s="21" t="n"/>
      <c r="I472" s="2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20.25" customHeight="1">
      <c r="A473" s="14" t="inlineStr">
        <is>
          <t>TOTAL PAYABLE</t>
        </is>
      </c>
      <c r="B473" s="14" t="n"/>
      <c r="C473" s="14" t="n"/>
      <c r="D473" s="21" t="n">
        <v>92250</v>
      </c>
      <c r="E473" s="5" t="n"/>
      <c r="F473" s="14" t="inlineStr">
        <is>
          <t>TOTAL PAYABLE</t>
        </is>
      </c>
      <c r="I473" s="21" t="n">
        <v>50000</v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6.5" customHeight="1">
      <c r="A474" s="15" t="n"/>
      <c r="B474" s="15" t="n"/>
      <c r="C474" s="15" t="n"/>
      <c r="D474" s="15" t="n"/>
      <c r="E474" s="5" t="n"/>
      <c r="F474" s="15" t="n"/>
      <c r="G474" s="15" t="n"/>
      <c r="H474" s="15" t="n"/>
      <c r="I474" s="15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20.25" customHeight="1">
      <c r="A475" s="14" t="inlineStr">
        <is>
          <t>Name</t>
        </is>
      </c>
      <c r="B475" s="14" t="inlineStr">
        <is>
          <t>NARAYANLALJI</t>
        </is>
      </c>
      <c r="C475" s="14" t="inlineStr">
        <is>
          <t>SURARAM</t>
        </is>
      </c>
      <c r="D475" s="21" t="inlineStr">
        <is>
          <t>2026-01-04</t>
        </is>
      </c>
      <c r="E475" s="5" t="n"/>
      <c r="F475" s="14" t="inlineStr">
        <is>
          <t>Name</t>
        </is>
      </c>
      <c r="G475" s="14" t="inlineStr">
        <is>
          <t>ASHOKJI</t>
        </is>
      </c>
      <c r="H475" s="14" t="inlineStr">
        <is>
          <t>SUCHITRA</t>
        </is>
      </c>
      <c r="I475" s="21" t="inlineStr">
        <is>
          <t>2026-01-04</t>
        </is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20.25" customHeight="1">
      <c r="A476" s="21" t="inlineStr">
        <is>
          <t>Month</t>
        </is>
      </c>
      <c r="B476" s="21" t="inlineStr">
        <is>
          <t>Plan</t>
        </is>
      </c>
      <c r="C476" s="21" t="inlineStr">
        <is>
          <t>Commission</t>
        </is>
      </c>
      <c r="D476" s="21" t="inlineStr">
        <is>
          <t>Amount</t>
        </is>
      </c>
      <c r="E476" s="5" t="n"/>
      <c r="F476" s="21" t="inlineStr">
        <is>
          <t>Month</t>
        </is>
      </c>
      <c r="G476" s="21" t="inlineStr">
        <is>
          <t>Plan</t>
        </is>
      </c>
      <c r="H476" s="21" t="inlineStr">
        <is>
          <t>Commission</t>
        </is>
      </c>
      <c r="I476" s="21" t="inlineStr">
        <is>
          <t>Amount</t>
        </is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20.25" customHeight="1">
      <c r="A477" s="21" t="n">
        <v>20</v>
      </c>
      <c r="B477" s="21" t="n">
        <v>500000</v>
      </c>
      <c r="C477" s="21" t="n">
        <v>0</v>
      </c>
      <c r="D477" s="21" t="n">
        <v>25000</v>
      </c>
      <c r="E477" s="5" t="n"/>
      <c r="F477" s="21" t="n">
        <v>4</v>
      </c>
      <c r="G477" s="21" t="n">
        <v>500000</v>
      </c>
      <c r="H477" s="21" t="n">
        <v>3250</v>
      </c>
      <c r="I477" s="21" t="n">
        <v>21750</v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20.25" customHeight="1">
      <c r="A478" s="21" t="n"/>
      <c r="B478" s="21" t="n"/>
      <c r="C478" s="21" t="n"/>
      <c r="D478" s="21" t="n"/>
      <c r="E478" s="5" t="n"/>
      <c r="F478" s="21" t="n"/>
      <c r="G478" s="21" t="n"/>
      <c r="H478" s="21" t="n"/>
      <c r="I478" s="2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20.25" customHeight="1">
      <c r="A479" s="21" t="n"/>
      <c r="B479" s="21" t="n"/>
      <c r="C479" s="21" t="n"/>
      <c r="D479" s="21" t="n"/>
      <c r="E479" s="5" t="n"/>
      <c r="F479" s="21" t="n"/>
      <c r="G479" s="21" t="n"/>
      <c r="H479" s="21" t="n"/>
      <c r="I479" s="2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20.25" customHeight="1">
      <c r="A480" s="21" t="n"/>
      <c r="B480" s="21" t="n"/>
      <c r="C480" s="21" t="n"/>
      <c r="D480" s="21" t="n"/>
      <c r="E480" s="5" t="n"/>
      <c r="F480" s="21" t="n"/>
      <c r="G480" s="21" t="n"/>
      <c r="H480" s="21" t="n"/>
      <c r="I480" s="2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20.25" customHeight="1">
      <c r="A481" s="21" t="n"/>
      <c r="B481" s="21" t="n"/>
      <c r="C481" s="21" t="n"/>
      <c r="D481" s="21" t="n"/>
      <c r="E481" s="5" t="n"/>
      <c r="F481" s="21" t="n"/>
      <c r="G481" s="21" t="n"/>
      <c r="H481" s="21" t="n"/>
      <c r="I481" s="2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20.25" customHeight="1">
      <c r="A482" s="14" t="inlineStr">
        <is>
          <t>TOTAL PAYABLE</t>
        </is>
      </c>
      <c r="B482" s="14" t="n"/>
      <c r="C482" s="14" t="n"/>
      <c r="D482" s="21" t="n">
        <v>25000</v>
      </c>
      <c r="E482" s="5" t="n"/>
      <c r="F482" s="14" t="inlineStr">
        <is>
          <t>TOTAL PAYABLE</t>
        </is>
      </c>
      <c r="I482" s="21" t="n">
        <v>21750</v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20.25" customHeight="1">
      <c r="A483" s="15" t="n"/>
      <c r="B483" s="14" t="n"/>
      <c r="C483" s="15" t="n"/>
      <c r="D483" s="21" t="n"/>
      <c r="E483" s="5" t="n"/>
      <c r="F483" s="15" t="n"/>
      <c r="G483" s="14" t="n"/>
      <c r="H483" s="15" t="n"/>
      <c r="I483" s="2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20.25" customHeight="1">
      <c r="A484" s="14" t="inlineStr">
        <is>
          <t>Name</t>
        </is>
      </c>
      <c r="B484" s="14" t="inlineStr">
        <is>
          <t>VENKAT REDDY</t>
        </is>
      </c>
      <c r="C484" s="14" t="inlineStr">
        <is>
          <t>SURARAM</t>
        </is>
      </c>
      <c r="D484" s="21" t="inlineStr">
        <is>
          <t>2026-01-04</t>
        </is>
      </c>
      <c r="E484" s="5" t="n"/>
      <c r="F484" s="14" t="inlineStr">
        <is>
          <t>Name</t>
        </is>
      </c>
      <c r="G484" s="14" t="inlineStr">
        <is>
          <t>PEMARAMJI</t>
        </is>
      </c>
      <c r="H484" s="14" t="inlineStr">
        <is>
          <t>SURARAM</t>
        </is>
      </c>
      <c r="I484" s="21" t="inlineStr">
        <is>
          <t>2026-01-04</t>
        </is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20.25" customHeight="1">
      <c r="A485" s="21" t="inlineStr">
        <is>
          <t>Month</t>
        </is>
      </c>
      <c r="B485" s="21" t="inlineStr">
        <is>
          <t>Plan</t>
        </is>
      </c>
      <c r="C485" s="21" t="inlineStr">
        <is>
          <t>Commission</t>
        </is>
      </c>
      <c r="D485" s="21" t="inlineStr">
        <is>
          <t>Amount</t>
        </is>
      </c>
      <c r="E485" s="5" t="n"/>
      <c r="F485" s="21" t="inlineStr">
        <is>
          <t>Month</t>
        </is>
      </c>
      <c r="G485" s="21" t="inlineStr">
        <is>
          <t>Plan</t>
        </is>
      </c>
      <c r="H485" s="21" t="inlineStr">
        <is>
          <t>Commission</t>
        </is>
      </c>
      <c r="I485" s="21" t="inlineStr">
        <is>
          <t>Amount</t>
        </is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20.25" customHeight="1">
      <c r="A486" s="21" t="n">
        <v>17</v>
      </c>
      <c r="B486" s="21" t="n">
        <v>500000</v>
      </c>
      <c r="C486" s="21" t="n">
        <v>400</v>
      </c>
      <c r="D486" s="21" t="n">
        <v>24600</v>
      </c>
      <c r="E486" s="5" t="n"/>
      <c r="F486" s="21" t="n">
        <v>9</v>
      </c>
      <c r="G486" s="21" t="n">
        <v>500000</v>
      </c>
      <c r="H486" s="21" t="n">
        <v>2000</v>
      </c>
      <c r="I486" s="21" t="n">
        <v>23000</v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20.25" customHeight="1">
      <c r="A487" s="21" t="n">
        <v>17</v>
      </c>
      <c r="B487" s="21" t="n">
        <v>500000</v>
      </c>
      <c r="C487" s="21" t="n">
        <v>400</v>
      </c>
      <c r="D487" s="21" t="n">
        <v>24600</v>
      </c>
      <c r="E487" s="5" t="n"/>
      <c r="F487" s="21" t="n"/>
      <c r="G487" s="21" t="n"/>
      <c r="H487" s="21" t="n"/>
      <c r="I487" s="2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20.25" customHeight="1">
      <c r="A488" s="21" t="n"/>
      <c r="B488" s="21" t="n"/>
      <c r="C488" s="21" t="n"/>
      <c r="D488" s="21" t="n"/>
      <c r="E488" s="5" t="n"/>
      <c r="F488" s="21" t="n"/>
      <c r="G488" s="21" t="n"/>
      <c r="H488" s="21" t="n"/>
      <c r="I488" s="2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20.25" customHeight="1">
      <c r="A489" s="21" t="n"/>
      <c r="B489" s="21" t="n"/>
      <c r="C489" s="21" t="n"/>
      <c r="D489" s="21" t="n"/>
      <c r="E489" s="5" t="n"/>
      <c r="F489" s="21" t="n"/>
      <c r="G489" s="21" t="n"/>
      <c r="H489" s="21" t="n"/>
      <c r="I489" s="2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20.25" customHeight="1">
      <c r="A490" s="21" t="n"/>
      <c r="B490" s="21" t="n"/>
      <c r="C490" s="21" t="n"/>
      <c r="D490" s="21" t="n"/>
      <c r="E490" s="5" t="n"/>
      <c r="F490" s="21" t="n"/>
      <c r="G490" s="21" t="n"/>
      <c r="H490" s="21" t="n"/>
      <c r="I490" s="2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20.25" customHeight="1">
      <c r="A491" s="14" t="inlineStr">
        <is>
          <t>TOTAL PAYABLE</t>
        </is>
      </c>
      <c r="B491" s="14" t="n"/>
      <c r="C491" s="14" t="n"/>
      <c r="D491" s="21" t="n">
        <v>49200</v>
      </c>
      <c r="E491" s="5" t="n"/>
      <c r="F491" s="14" t="inlineStr">
        <is>
          <t>TOTAL PAYABLE</t>
        </is>
      </c>
      <c r="I491" s="21" t="n">
        <v>23000</v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6.5" customHeight="1">
      <c r="A492" s="15" t="n"/>
      <c r="B492" s="15" t="n"/>
      <c r="C492" s="15" t="n"/>
      <c r="D492" s="15" t="n"/>
      <c r="E492" s="5" t="n"/>
      <c r="F492" s="15" t="n"/>
      <c r="G492" s="15" t="n"/>
      <c r="H492" s="15" t="n"/>
      <c r="I492" s="15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20.25" customHeight="1">
      <c r="A493" s="14" t="inlineStr">
        <is>
          <t>Name</t>
        </is>
      </c>
      <c r="B493" s="14" t="inlineStr">
        <is>
          <t>CHANDARAMJI</t>
        </is>
      </c>
      <c r="C493" s="14" t="inlineStr">
        <is>
          <t>SURARAM</t>
        </is>
      </c>
      <c r="D493" s="21" t="inlineStr">
        <is>
          <t>2026-01-04</t>
        </is>
      </c>
      <c r="E493" s="5" t="n"/>
      <c r="F493" s="14" t="inlineStr">
        <is>
          <t>Name</t>
        </is>
      </c>
      <c r="G493" s="14" t="inlineStr">
        <is>
          <t>VINJARAMJI</t>
        </is>
      </c>
      <c r="H493" s="14" t="inlineStr">
        <is>
          <t>R R NAGAR</t>
        </is>
      </c>
      <c r="I493" s="21" t="inlineStr">
        <is>
          <t>2026-01-04</t>
        </is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20.25" customHeight="1">
      <c r="A494" s="21" t="inlineStr">
        <is>
          <t>Month</t>
        </is>
      </c>
      <c r="B494" s="21" t="inlineStr">
        <is>
          <t>Plan</t>
        </is>
      </c>
      <c r="C494" s="21" t="inlineStr">
        <is>
          <t>Commission</t>
        </is>
      </c>
      <c r="D494" s="21" t="inlineStr">
        <is>
          <t>Amount</t>
        </is>
      </c>
      <c r="E494" s="5" t="n"/>
      <c r="F494" s="21" t="inlineStr">
        <is>
          <t>Month</t>
        </is>
      </c>
      <c r="G494" s="21" t="inlineStr">
        <is>
          <t>Plan</t>
        </is>
      </c>
      <c r="H494" s="21" t="inlineStr">
        <is>
          <t>Commission</t>
        </is>
      </c>
      <c r="I494" s="21" t="inlineStr">
        <is>
          <t>Amount</t>
        </is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20.25" customHeight="1">
      <c r="A495" s="21" t="n">
        <v>14</v>
      </c>
      <c r="B495" s="21" t="n">
        <v>500000</v>
      </c>
      <c r="C495" s="21" t="n">
        <v>900</v>
      </c>
      <c r="D495" s="21" t="n">
        <v>24100</v>
      </c>
      <c r="E495" s="5" t="n"/>
      <c r="F495" s="21" t="n">
        <v>14</v>
      </c>
      <c r="G495" s="21" t="n">
        <v>500000</v>
      </c>
      <c r="H495" s="21" t="n">
        <v>900</v>
      </c>
      <c r="I495" s="21" t="n">
        <v>24100</v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20.25" customHeight="1">
      <c r="A496" s="21" t="n"/>
      <c r="B496" s="21" t="n"/>
      <c r="C496" s="21" t="n"/>
      <c r="D496" s="21" t="n"/>
      <c r="E496" s="5" t="n"/>
      <c r="F496" s="21" t="n">
        <v>14</v>
      </c>
      <c r="G496" s="21" t="n">
        <v>500000</v>
      </c>
      <c r="H496" s="21" t="n">
        <v>900</v>
      </c>
      <c r="I496" s="21" t="n">
        <v>24100</v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20.25" customHeight="1">
      <c r="A497" s="21" t="n"/>
      <c r="B497" s="21" t="n"/>
      <c r="C497" s="21" t="n"/>
      <c r="D497" s="21" t="n"/>
      <c r="E497" s="5" t="n"/>
      <c r="F497" s="21" t="n">
        <v>9</v>
      </c>
      <c r="G497" s="21" t="n">
        <v>500000</v>
      </c>
      <c r="H497" s="21" t="n">
        <v>2000</v>
      </c>
      <c r="I497" s="21" t="n">
        <v>23000</v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20.25" customHeight="1">
      <c r="A498" s="21" t="n"/>
      <c r="B498" s="21" t="n"/>
      <c r="C498" s="21" t="n"/>
      <c r="D498" s="21" t="n"/>
      <c r="E498" s="5" t="n"/>
      <c r="F498" s="21" t="n">
        <v>4</v>
      </c>
      <c r="G498" s="21" t="n">
        <v>1000000</v>
      </c>
      <c r="H498" s="21" t="n">
        <v>7750</v>
      </c>
      <c r="I498" s="21" t="n">
        <v>42250</v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20.25" customHeight="1">
      <c r="A499" s="21" t="n"/>
      <c r="B499" s="21" t="n"/>
      <c r="C499" s="21" t="n"/>
      <c r="D499" s="21" t="n"/>
      <c r="E499" s="5" t="n"/>
      <c r="F499" s="21" t="n"/>
      <c r="G499" s="21" t="n"/>
      <c r="H499" s="21" t="n"/>
      <c r="I499" s="2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20.25" customHeight="1">
      <c r="A500" s="14" t="inlineStr">
        <is>
          <t>TOTAL PAYABLE</t>
        </is>
      </c>
      <c r="B500" s="14" t="n"/>
      <c r="C500" s="14" t="n"/>
      <c r="D500" s="21" t="n">
        <v>24100</v>
      </c>
      <c r="E500" s="5" t="n"/>
      <c r="F500" s="14" t="inlineStr">
        <is>
          <t>TOTAL PAYABLE</t>
        </is>
      </c>
      <c r="I500" s="21" t="n">
        <v>113450</v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6.5" customHeight="1"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20.25" customHeight="1">
      <c r="A502" s="14" t="inlineStr">
        <is>
          <t>Name</t>
        </is>
      </c>
      <c r="B502" s="14" t="inlineStr">
        <is>
          <t>CHAMPALALJI</t>
        </is>
      </c>
      <c r="C502" s="14" t="inlineStr">
        <is>
          <t>RNGRD</t>
        </is>
      </c>
      <c r="D502" s="21" t="inlineStr">
        <is>
          <t>2026-01-04</t>
        </is>
      </c>
      <c r="E502" s="5" t="n"/>
      <c r="F502" s="14" t="inlineStr">
        <is>
          <t>NAME</t>
        </is>
      </c>
      <c r="G502" s="14" t="inlineStr">
        <is>
          <t>VENKTESHVAR</t>
        </is>
      </c>
      <c r="H502" s="14" t="inlineStr">
        <is>
          <t>AB CO</t>
        </is>
      </c>
      <c r="I502" s="21" t="inlineStr">
        <is>
          <t>2026-01-04</t>
        </is>
      </c>
      <c r="K502" s="1" t="n"/>
      <c r="L502" s="1" t="n"/>
      <c r="M502" s="1" t="n"/>
      <c r="N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20.25" customHeight="1">
      <c r="A503" s="21" t="inlineStr">
        <is>
          <t>Month</t>
        </is>
      </c>
      <c r="B503" s="21" t="inlineStr">
        <is>
          <t>Plan</t>
        </is>
      </c>
      <c r="C503" s="21" t="inlineStr">
        <is>
          <t>Commission</t>
        </is>
      </c>
      <c r="D503" s="21" t="inlineStr">
        <is>
          <t>Amount</t>
        </is>
      </c>
      <c r="E503" s="5" t="n"/>
      <c r="F503" s="21" t="inlineStr">
        <is>
          <t>Month</t>
        </is>
      </c>
      <c r="G503" s="21" t="inlineStr">
        <is>
          <t>Plan</t>
        </is>
      </c>
      <c r="H503" s="21" t="inlineStr">
        <is>
          <t>Commission</t>
        </is>
      </c>
      <c r="I503" s="21" t="inlineStr">
        <is>
          <t>Amount</t>
        </is>
      </c>
    </row>
    <row r="504" ht="20.25" customHeight="1">
      <c r="A504" s="21" t="n">
        <v>9</v>
      </c>
      <c r="B504" s="21" t="n">
        <v>2000000</v>
      </c>
      <c r="C504" s="21" t="n">
        <v>7000</v>
      </c>
      <c r="D504" s="21" t="n">
        <v>93000</v>
      </c>
      <c r="E504" s="5" t="n"/>
      <c r="F504" s="21" t="n">
        <v>9</v>
      </c>
      <c r="G504" s="21" t="n">
        <v>500000</v>
      </c>
      <c r="H504" s="21" t="n">
        <v>2000</v>
      </c>
      <c r="I504" s="21" t="n">
        <v>23000</v>
      </c>
    </row>
    <row r="505" ht="20.25" customHeight="1">
      <c r="A505" s="21" t="n"/>
      <c r="B505" s="21" t="n"/>
      <c r="C505" s="21" t="n"/>
      <c r="D505" s="21" t="n"/>
      <c r="E505" s="5" t="n"/>
      <c r="F505" s="21" t="n"/>
      <c r="G505" s="21" t="n"/>
      <c r="H505" s="21" t="n"/>
      <c r="I505" s="21" t="n"/>
    </row>
    <row r="506" ht="20.25" customHeight="1">
      <c r="A506" s="21" t="n"/>
      <c r="B506" s="21" t="n"/>
      <c r="C506" s="21" t="n"/>
      <c r="D506" s="21" t="n"/>
      <c r="E506" s="5" t="n"/>
      <c r="F506" s="21" t="n"/>
      <c r="G506" s="21" t="n"/>
      <c r="H506" s="21" t="n"/>
      <c r="I506" s="21" t="n"/>
    </row>
    <row r="507" ht="20.25" customHeight="1">
      <c r="A507" s="21" t="n"/>
      <c r="B507" s="21" t="n"/>
      <c r="C507" s="21" t="n"/>
      <c r="D507" s="21" t="n"/>
      <c r="E507" s="5" t="n"/>
      <c r="F507" s="21" t="n"/>
      <c r="G507" s="21" t="n"/>
      <c r="H507" s="21" t="n"/>
      <c r="I507" s="21" t="n"/>
    </row>
    <row r="508" ht="20.25" customHeight="1">
      <c r="A508" s="21" t="n"/>
      <c r="B508" s="21" t="n"/>
      <c r="C508" s="21" t="n"/>
      <c r="D508" s="21" t="n"/>
      <c r="E508" s="5" t="n"/>
      <c r="F508" s="21" t="n"/>
      <c r="G508" s="21" t="n"/>
      <c r="H508" s="21" t="n"/>
      <c r="I508" s="21" t="n"/>
    </row>
    <row r="509" ht="20.25" customHeight="1">
      <c r="A509" s="14" t="inlineStr">
        <is>
          <t>TOTAL PAYABLE</t>
        </is>
      </c>
      <c r="B509" s="14" t="n"/>
      <c r="C509" s="14" t="n"/>
      <c r="D509" s="21" t="n">
        <v>93000</v>
      </c>
      <c r="E509" s="5" t="n"/>
      <c r="F509" s="14" t="inlineStr">
        <is>
          <t>TOTAL PAYABLE</t>
        </is>
      </c>
      <c r="G509" s="14" t="n"/>
      <c r="H509" s="14" t="n"/>
      <c r="I509" s="21" t="n">
        <v>23000</v>
      </c>
    </row>
    <row r="510" ht="16.5" customHeight="1"/>
    <row r="511" ht="20.25" customHeight="1">
      <c r="A511" s="14" t="inlineStr">
        <is>
          <t>Name</t>
        </is>
      </c>
      <c r="B511" s="14" t="inlineStr">
        <is>
          <t>KEWALJI</t>
        </is>
      </c>
      <c r="C511" s="14" t="inlineStr">
        <is>
          <t>KAMMAN</t>
        </is>
      </c>
      <c r="D511" s="21" t="inlineStr">
        <is>
          <t>2026-01-04</t>
        </is>
      </c>
      <c r="E511" s="5" t="n"/>
      <c r="F511" s="14" t="inlineStr">
        <is>
          <t>NAME</t>
        </is>
      </c>
      <c r="G511" s="14" t="inlineStr">
        <is>
          <t>PRAKASHJI</t>
        </is>
      </c>
      <c r="H511" s="14" t="inlineStr">
        <is>
          <t>AMEENPUR</t>
        </is>
      </c>
      <c r="I511" s="21" t="inlineStr">
        <is>
          <t>2026-01-04</t>
        </is>
      </c>
    </row>
    <row r="512" ht="20.25" customHeight="1">
      <c r="A512" s="21" t="inlineStr">
        <is>
          <t>Month</t>
        </is>
      </c>
      <c r="B512" s="21" t="inlineStr">
        <is>
          <t>Plan</t>
        </is>
      </c>
      <c r="C512" s="21" t="inlineStr">
        <is>
          <t>Commission</t>
        </is>
      </c>
      <c r="D512" s="21" t="inlineStr">
        <is>
          <t>Amount</t>
        </is>
      </c>
      <c r="E512" s="5" t="n"/>
      <c r="F512" s="21" t="inlineStr">
        <is>
          <t>Month</t>
        </is>
      </c>
      <c r="G512" s="21" t="inlineStr">
        <is>
          <t>Plan</t>
        </is>
      </c>
      <c r="H512" s="21" t="inlineStr">
        <is>
          <t>Commission</t>
        </is>
      </c>
      <c r="I512" s="21" t="inlineStr">
        <is>
          <t>Amount</t>
        </is>
      </c>
    </row>
    <row r="513" ht="20.25" customHeight="1">
      <c r="A513" s="21" t="n">
        <v>9</v>
      </c>
      <c r="B513" s="21" t="n">
        <v>500000</v>
      </c>
      <c r="C513" s="21" t="n">
        <v>2000</v>
      </c>
      <c r="D513" s="21" t="n">
        <v>23000</v>
      </c>
      <c r="E513" s="5" t="n"/>
      <c r="F513" s="21" t="n">
        <v>9</v>
      </c>
      <c r="G513" s="21" t="n">
        <v>500000</v>
      </c>
      <c r="H513" s="21" t="n">
        <v>2000</v>
      </c>
      <c r="I513" s="21" t="n">
        <v>23000</v>
      </c>
    </row>
    <row r="514" ht="20.25" customHeight="1">
      <c r="A514" s="21" t="n"/>
      <c r="B514" s="21" t="n"/>
      <c r="C514" s="21" t="n"/>
      <c r="D514" s="21" t="n"/>
      <c r="E514" s="5" t="n"/>
      <c r="F514" s="21" t="n"/>
      <c r="G514" s="21" t="n"/>
      <c r="H514" s="21" t="n"/>
      <c r="I514" s="21" t="n"/>
    </row>
    <row r="515" ht="20.25" customHeight="1">
      <c r="A515" s="21" t="n"/>
      <c r="B515" s="21" t="n"/>
      <c r="C515" s="21" t="n"/>
      <c r="D515" s="21" t="n"/>
      <c r="E515" s="5" t="n"/>
      <c r="F515" s="21" t="n"/>
      <c r="G515" s="21" t="n"/>
      <c r="H515" s="21" t="n"/>
      <c r="I515" s="21" t="n"/>
    </row>
    <row r="516" ht="20.25" customHeight="1">
      <c r="A516" s="21" t="n"/>
      <c r="B516" s="21" t="n"/>
      <c r="C516" s="21" t="n"/>
      <c r="D516" s="21" t="n"/>
      <c r="E516" s="5" t="n"/>
      <c r="F516" s="21" t="n"/>
      <c r="G516" s="21" t="n"/>
      <c r="H516" s="21" t="n"/>
      <c r="I516" s="21" t="n"/>
    </row>
    <row r="517" ht="20.25" customHeight="1">
      <c r="A517" s="21" t="n"/>
      <c r="B517" s="21" t="n"/>
      <c r="C517" s="21" t="n"/>
      <c r="D517" s="21" t="n"/>
      <c r="E517" s="5" t="n"/>
      <c r="F517" s="21" t="n"/>
      <c r="G517" s="21" t="n"/>
      <c r="H517" s="21" t="n"/>
      <c r="I517" s="21" t="n"/>
    </row>
    <row r="518" ht="20.25" customHeight="1">
      <c r="A518" s="14" t="inlineStr">
        <is>
          <t>TOTAL PAYABLE</t>
        </is>
      </c>
      <c r="B518" s="14" t="n"/>
      <c r="C518" s="14" t="n"/>
      <c r="D518" s="21" t="n">
        <v>23000</v>
      </c>
      <c r="E518" s="5" t="n"/>
      <c r="F518" s="14" t="inlineStr">
        <is>
          <t>TOTAL</t>
        </is>
      </c>
      <c r="I518" s="21" t="n">
        <v>23000</v>
      </c>
    </row>
    <row r="519" ht="16.5" customHeight="1"/>
    <row r="520" ht="20.25" customHeight="1">
      <c r="A520" s="14" t="inlineStr">
        <is>
          <t>NAME</t>
        </is>
      </c>
      <c r="B520" s="14" t="inlineStr">
        <is>
          <t>NIRMALJI</t>
        </is>
      </c>
      <c r="C520" s="14" t="inlineStr">
        <is>
          <t>KKPALLY</t>
        </is>
      </c>
      <c r="D520" s="21" t="inlineStr">
        <is>
          <t>2026-01-04</t>
        </is>
      </c>
      <c r="F520" s="14" t="inlineStr">
        <is>
          <t>NAME</t>
        </is>
      </c>
      <c r="G520" s="14" t="inlineStr">
        <is>
          <t>THANARAMJI</t>
        </is>
      </c>
      <c r="H520" s="14" t="inlineStr">
        <is>
          <t>SRIKAKULAM B</t>
        </is>
      </c>
      <c r="I520" s="21" t="inlineStr">
        <is>
          <t>2026-01-04</t>
        </is>
      </c>
    </row>
    <row r="521" ht="20.25" customHeight="1">
      <c r="A521" s="21" t="inlineStr">
        <is>
          <t>Month</t>
        </is>
      </c>
      <c r="B521" s="21" t="inlineStr">
        <is>
          <t>Plan</t>
        </is>
      </c>
      <c r="C521" s="21" t="inlineStr">
        <is>
          <t>Commission</t>
        </is>
      </c>
      <c r="D521" s="21" t="inlineStr">
        <is>
          <t>Amount</t>
        </is>
      </c>
      <c r="F521" s="21" t="inlineStr">
        <is>
          <t>Month</t>
        </is>
      </c>
      <c r="G521" s="21" t="inlineStr">
        <is>
          <t>Plan</t>
        </is>
      </c>
      <c r="H521" s="21" t="inlineStr">
        <is>
          <t>Commission</t>
        </is>
      </c>
      <c r="I521" s="21" t="inlineStr">
        <is>
          <t>Amount</t>
        </is>
      </c>
    </row>
    <row r="522" ht="20.25" customHeight="1">
      <c r="A522" s="21" t="n">
        <v>20</v>
      </c>
      <c r="B522" s="21" t="n">
        <v>500000</v>
      </c>
      <c r="C522" s="21" t="n">
        <v>0</v>
      </c>
      <c r="D522" s="21" t="n">
        <v>25000</v>
      </c>
      <c r="F522" s="21" t="n">
        <v>9</v>
      </c>
      <c r="G522" s="21" t="n">
        <v>1000000</v>
      </c>
      <c r="H522" s="21" t="n">
        <v>3250</v>
      </c>
      <c r="I522" s="21" t="n">
        <v>46750</v>
      </c>
    </row>
    <row r="523" ht="20.25" customHeight="1">
      <c r="A523" s="21" t="n"/>
      <c r="B523" s="21" t="n"/>
      <c r="C523" s="21" t="n"/>
      <c r="D523" s="21" t="n"/>
      <c r="F523" s="21" t="n">
        <v>9</v>
      </c>
      <c r="G523" s="21" t="n">
        <v>1000000</v>
      </c>
      <c r="H523" s="21" t="n">
        <v>3250</v>
      </c>
      <c r="I523" s="21" t="n">
        <v>46750</v>
      </c>
    </row>
    <row r="524" ht="20.25" customHeight="1">
      <c r="A524" s="21" t="n"/>
      <c r="B524" s="21" t="n"/>
      <c r="C524" s="21" t="n"/>
      <c r="D524" s="21" t="n"/>
      <c r="F524" s="21" t="n"/>
      <c r="G524" s="21" t="n"/>
      <c r="H524" s="21" t="n"/>
      <c r="I524" s="21" t="n"/>
    </row>
    <row r="525" ht="20.25" customHeight="1">
      <c r="A525" s="21" t="n"/>
      <c r="B525" s="21" t="n"/>
      <c r="C525" s="21" t="n"/>
      <c r="D525" s="21" t="n"/>
      <c r="F525" s="21" t="n"/>
      <c r="G525" s="21" t="n"/>
      <c r="H525" s="21" t="n"/>
      <c r="I525" s="21" t="n"/>
    </row>
    <row r="526" ht="20.25" customHeight="1">
      <c r="A526" s="21" t="n"/>
      <c r="B526" s="21" t="n"/>
      <c r="C526" s="21" t="n"/>
      <c r="D526" s="21" t="n"/>
      <c r="F526" s="21" t="n"/>
      <c r="G526" s="21" t="n"/>
      <c r="H526" s="21" t="n"/>
      <c r="I526" s="21" t="n"/>
    </row>
    <row r="527" ht="20.25" customHeight="1">
      <c r="A527" s="14" t="inlineStr">
        <is>
          <t>TOTAL PAYABLE</t>
        </is>
      </c>
      <c r="B527" s="14" t="n"/>
      <c r="C527" s="14" t="n"/>
      <c r="D527" s="21" t="n">
        <v>25000</v>
      </c>
      <c r="F527" s="14" t="inlineStr">
        <is>
          <t>TOTAL</t>
        </is>
      </c>
      <c r="I527" s="21" t="n">
        <v>93500</v>
      </c>
    </row>
    <row r="528" ht="16.5" customHeight="1"/>
    <row r="529" ht="20.25" customHeight="1">
      <c r="A529" s="14" t="inlineStr">
        <is>
          <t>NAME</t>
        </is>
      </c>
      <c r="B529" s="14" t="inlineStr">
        <is>
          <t>NARAYANJI</t>
        </is>
      </c>
      <c r="C529" s="14" t="inlineStr">
        <is>
          <t>RR ROAD</t>
        </is>
      </c>
      <c r="D529" s="21" t="inlineStr">
        <is>
          <t>2026-01-04</t>
        </is>
      </c>
      <c r="F529" s="14" t="inlineStr">
        <is>
          <t>NAME</t>
        </is>
      </c>
      <c r="G529" s="14" t="inlineStr">
        <is>
          <t>PUNJI</t>
        </is>
      </c>
      <c r="H529" s="14" t="inlineStr">
        <is>
          <t>R ROAD</t>
        </is>
      </c>
      <c r="I529" s="21" t="inlineStr">
        <is>
          <t>2026-01-04</t>
        </is>
      </c>
    </row>
    <row r="530" ht="20.25" customHeight="1">
      <c r="A530" s="21" t="inlineStr">
        <is>
          <t>Month</t>
        </is>
      </c>
      <c r="B530" s="21" t="inlineStr">
        <is>
          <t>Plan</t>
        </is>
      </c>
      <c r="C530" s="21" t="inlineStr">
        <is>
          <t>Commission</t>
        </is>
      </c>
      <c r="D530" s="21" t="inlineStr">
        <is>
          <t>Amount</t>
        </is>
      </c>
      <c r="F530" s="21" t="inlineStr">
        <is>
          <t>Month</t>
        </is>
      </c>
      <c r="G530" s="21" t="inlineStr">
        <is>
          <t>Plan</t>
        </is>
      </c>
      <c r="H530" s="21" t="inlineStr">
        <is>
          <t>Commission</t>
        </is>
      </c>
      <c r="I530" s="21" t="inlineStr">
        <is>
          <t>Amount</t>
        </is>
      </c>
    </row>
    <row r="531" ht="20.25" customHeight="1">
      <c r="A531" s="21" t="n">
        <v>4</v>
      </c>
      <c r="B531" s="21" t="n">
        <v>1000000</v>
      </c>
      <c r="C531" s="21" t="n">
        <v>7750</v>
      </c>
      <c r="D531" s="21" t="n">
        <v>42250</v>
      </c>
      <c r="F531" s="21" t="n">
        <v>9</v>
      </c>
      <c r="G531" s="21" t="n">
        <v>2000000</v>
      </c>
      <c r="H531" s="21" t="n">
        <v>7000</v>
      </c>
      <c r="I531" s="21" t="n">
        <v>93000</v>
      </c>
    </row>
    <row r="532" ht="20.25" customHeight="1">
      <c r="A532" s="21" t="inlineStr">
        <is>
          <t>4.1</t>
        </is>
      </c>
      <c r="B532" s="21" t="n">
        <v>1000000</v>
      </c>
      <c r="C532" s="21" t="n">
        <v>7700</v>
      </c>
      <c r="D532" s="21" t="n">
        <v>42300</v>
      </c>
      <c r="F532" s="21" t="n"/>
      <c r="G532" s="21" t="n"/>
      <c r="H532" s="21" t="n"/>
      <c r="I532" s="21" t="n"/>
    </row>
    <row r="533" ht="20.25" customHeight="1">
      <c r="A533" s="21" t="n"/>
      <c r="B533" s="21" t="n"/>
      <c r="C533" s="21" t="n"/>
      <c r="D533" s="21" t="n"/>
      <c r="F533" s="21" t="n"/>
      <c r="G533" s="21" t="n"/>
      <c r="H533" s="21" t="n"/>
      <c r="I533" s="21" t="n"/>
    </row>
    <row r="534" ht="20.25" customHeight="1">
      <c r="A534" s="21" t="n"/>
      <c r="B534" s="21" t="n"/>
      <c r="C534" s="21" t="n"/>
      <c r="D534" s="21" t="n"/>
      <c r="F534" s="21" t="n"/>
      <c r="G534" s="21" t="n"/>
      <c r="H534" s="21" t="n"/>
      <c r="I534" s="21" t="n"/>
    </row>
    <row r="535" ht="20.25" customHeight="1">
      <c r="A535" s="21" t="n"/>
      <c r="B535" s="21" t="n"/>
      <c r="C535" s="21" t="n"/>
      <c r="D535" s="21" t="n"/>
      <c r="F535" s="21" t="n"/>
      <c r="G535" s="21" t="n"/>
      <c r="H535" s="21" t="n"/>
      <c r="I535" s="21" t="n"/>
    </row>
    <row r="536" ht="20.25" customHeight="1">
      <c r="A536" s="14" t="inlineStr">
        <is>
          <t>TOTAL PAYABLE</t>
        </is>
      </c>
      <c r="B536" s="14" t="n"/>
      <c r="C536" s="14" t="n"/>
      <c r="D536" s="21" t="n">
        <v>84550</v>
      </c>
      <c r="F536" s="14" t="inlineStr">
        <is>
          <t>TOTAL PAYABLE</t>
        </is>
      </c>
      <c r="G536" s="14" t="n"/>
      <c r="H536" s="14" t="n"/>
      <c r="I536" s="21" t="n">
        <v>93000</v>
      </c>
    </row>
    <row r="537" ht="16.5" customHeight="1"/>
    <row r="538" ht="20.25" customHeight="1">
      <c r="A538" s="14" t="inlineStr">
        <is>
          <t>NAME</t>
        </is>
      </c>
      <c r="B538" s="14" t="inlineStr">
        <is>
          <t xml:space="preserve">GOTAMJI </t>
        </is>
      </c>
      <c r="C538" s="14" t="inlineStr">
        <is>
          <t>RR ROAD</t>
        </is>
      </c>
      <c r="D538" s="21" t="inlineStr">
        <is>
          <t>2026-01-04</t>
        </is>
      </c>
      <c r="F538" s="14" t="inlineStr">
        <is>
          <t>NAME</t>
        </is>
      </c>
      <c r="G538" s="14" t="inlineStr">
        <is>
          <t>SOHANJI</t>
        </is>
      </c>
      <c r="H538" s="14" t="inlineStr">
        <is>
          <t>RR ROAD</t>
        </is>
      </c>
      <c r="I538" s="21" t="inlineStr">
        <is>
          <t>2026-01-04</t>
        </is>
      </c>
    </row>
    <row r="539" ht="20.25" customHeight="1">
      <c r="A539" s="21" t="inlineStr">
        <is>
          <t>Month</t>
        </is>
      </c>
      <c r="B539" s="21" t="inlineStr">
        <is>
          <t>Plan</t>
        </is>
      </c>
      <c r="C539" s="21" t="inlineStr">
        <is>
          <t>Commission</t>
        </is>
      </c>
      <c r="D539" s="21" t="inlineStr">
        <is>
          <t>Amount</t>
        </is>
      </c>
      <c r="F539" s="21" t="inlineStr">
        <is>
          <t>Month</t>
        </is>
      </c>
      <c r="G539" s="21" t="inlineStr">
        <is>
          <t>Plan</t>
        </is>
      </c>
      <c r="H539" s="21" t="inlineStr">
        <is>
          <t>Commission</t>
        </is>
      </c>
      <c r="I539" s="21" t="inlineStr">
        <is>
          <t>Amount</t>
        </is>
      </c>
    </row>
    <row r="540" ht="20.25" customHeight="1">
      <c r="A540" s="21" t="inlineStr">
        <is>
          <t>4.1</t>
        </is>
      </c>
      <c r="B540" s="21" t="n">
        <v>1000000</v>
      </c>
      <c r="C540" s="21" t="n">
        <v>7700</v>
      </c>
      <c r="D540" s="21" t="n">
        <v>42300</v>
      </c>
      <c r="F540" s="21" t="n">
        <v>4</v>
      </c>
      <c r="G540" s="21" t="n">
        <v>1000000</v>
      </c>
      <c r="H540" s="21" t="n">
        <v>7750</v>
      </c>
      <c r="I540" s="21" t="n">
        <v>42250</v>
      </c>
    </row>
    <row r="541" ht="20.25" customHeight="1">
      <c r="A541" s="21" t="n"/>
      <c r="B541" s="21" t="n"/>
      <c r="C541" s="21" t="n"/>
      <c r="D541" s="21" t="n"/>
      <c r="F541" s="21" t="inlineStr">
        <is>
          <t>4.1</t>
        </is>
      </c>
      <c r="G541" s="21" t="n">
        <v>1000000</v>
      </c>
      <c r="H541" s="21" t="n">
        <v>7700</v>
      </c>
      <c r="I541" s="21" t="n">
        <v>42300</v>
      </c>
    </row>
    <row r="542" ht="20.25" customHeight="1">
      <c r="A542" s="21" t="n"/>
      <c r="B542" s="21" t="n"/>
      <c r="C542" s="21" t="n"/>
      <c r="D542" s="21" t="n"/>
      <c r="F542" s="21" t="n"/>
      <c r="G542" s="21" t="n"/>
      <c r="H542" s="21" t="n"/>
      <c r="I542" s="21" t="n"/>
    </row>
    <row r="543" ht="20.25" customHeight="1">
      <c r="A543" s="21" t="n"/>
      <c r="B543" s="21" t="n"/>
      <c r="C543" s="21" t="n"/>
      <c r="D543" s="21" t="n"/>
      <c r="F543" s="21" t="n"/>
      <c r="G543" s="21" t="n"/>
      <c r="H543" s="21" t="n"/>
      <c r="I543" s="21" t="n"/>
    </row>
    <row r="544" ht="20.25" customHeight="1">
      <c r="A544" s="21" t="n"/>
      <c r="B544" s="21" t="n"/>
      <c r="C544" s="21" t="n"/>
      <c r="D544" s="21" t="n"/>
      <c r="F544" s="21" t="n"/>
      <c r="G544" s="21" t="n"/>
      <c r="H544" s="21" t="n"/>
      <c r="I544" s="21" t="n"/>
    </row>
    <row r="545" ht="20.25" customHeight="1">
      <c r="A545" s="14" t="inlineStr">
        <is>
          <t>TOTAL PAYABLE</t>
        </is>
      </c>
      <c r="B545" s="14" t="n"/>
      <c r="C545" s="14" t="n"/>
      <c r="D545" s="21" t="n">
        <v>42300</v>
      </c>
      <c r="F545" s="14" t="inlineStr">
        <is>
          <t>TOTAL PAYABLE</t>
        </is>
      </c>
      <c r="G545" s="14" t="n"/>
      <c r="H545" s="14" t="n"/>
      <c r="I545" s="21" t="n">
        <v>84550</v>
      </c>
    </row>
    <row r="546" ht="16.5" customHeight="1"/>
    <row r="547" ht="20.25" customHeight="1">
      <c r="A547" s="14" t="inlineStr">
        <is>
          <t>NAME</t>
        </is>
      </c>
      <c r="B547" s="14" t="inlineStr">
        <is>
          <t>TEJAJAMJI</t>
        </is>
      </c>
      <c r="C547" s="14" t="inlineStr">
        <is>
          <t>YELMBNDA</t>
        </is>
      </c>
      <c r="D547" s="21" t="inlineStr">
        <is>
          <t>2026-01-04</t>
        </is>
      </c>
      <c r="F547" s="14" t="inlineStr">
        <is>
          <t>NAME</t>
        </is>
      </c>
      <c r="G547" s="14" t="inlineStr">
        <is>
          <t>MOHANJI</t>
        </is>
      </c>
      <c r="H547" s="14" t="inlineStr">
        <is>
          <t>CHINTAL</t>
        </is>
      </c>
      <c r="I547" s="21" t="inlineStr">
        <is>
          <t>2026-01-04</t>
        </is>
      </c>
    </row>
    <row r="548" ht="20.25" customHeight="1">
      <c r="A548" s="21" t="inlineStr">
        <is>
          <t>Month</t>
        </is>
      </c>
      <c r="B548" s="21" t="inlineStr">
        <is>
          <t>Plan</t>
        </is>
      </c>
      <c r="C548" s="21" t="inlineStr">
        <is>
          <t>Commission</t>
        </is>
      </c>
      <c r="D548" s="21" t="inlineStr">
        <is>
          <t>Amount</t>
        </is>
      </c>
      <c r="F548" s="21" t="inlineStr">
        <is>
          <t>Month</t>
        </is>
      </c>
      <c r="G548" s="21" t="inlineStr">
        <is>
          <t>Plan</t>
        </is>
      </c>
      <c r="H548" s="21" t="inlineStr">
        <is>
          <t>Commission</t>
        </is>
      </c>
      <c r="I548" s="21" t="inlineStr">
        <is>
          <t>Amount</t>
        </is>
      </c>
    </row>
    <row r="549" ht="20.25" customHeight="1">
      <c r="A549" s="21" t="inlineStr">
        <is>
          <t>4.1</t>
        </is>
      </c>
      <c r="B549" s="21" t="n">
        <v>1000000</v>
      </c>
      <c r="C549" s="21" t="n">
        <v>7700</v>
      </c>
      <c r="D549" s="21" t="n">
        <v>42300</v>
      </c>
      <c r="F549" s="21" t="inlineStr">
        <is>
          <t>4.1</t>
        </is>
      </c>
      <c r="G549" s="21" t="n">
        <v>1000000</v>
      </c>
      <c r="H549" s="21" t="n">
        <v>7700</v>
      </c>
      <c r="I549" s="21" t="n">
        <v>42300</v>
      </c>
    </row>
    <row r="550" ht="20.25" customHeight="1">
      <c r="A550" s="21" t="n"/>
      <c r="B550" s="21" t="n"/>
      <c r="C550" s="21" t="n"/>
      <c r="D550" s="21" t="n"/>
      <c r="F550" s="21" t="n"/>
      <c r="G550" s="21" t="n"/>
      <c r="H550" s="21" t="n"/>
      <c r="I550" s="21" t="n"/>
    </row>
    <row r="551" ht="20.25" customHeight="1">
      <c r="A551" s="21" t="n"/>
      <c r="B551" s="21" t="n"/>
      <c r="C551" s="21" t="n"/>
      <c r="D551" s="21" t="n"/>
      <c r="F551" s="21" t="n"/>
      <c r="G551" s="21" t="n"/>
      <c r="H551" s="21" t="n"/>
      <c r="I551" s="21" t="n"/>
    </row>
    <row r="552" ht="20.25" customHeight="1">
      <c r="A552" s="21" t="n"/>
      <c r="B552" s="21" t="n"/>
      <c r="C552" s="21" t="n"/>
      <c r="D552" s="21" t="n"/>
      <c r="F552" s="21" t="n"/>
      <c r="G552" s="21" t="n"/>
      <c r="H552" s="21" t="n"/>
      <c r="I552" s="21" t="n"/>
    </row>
    <row r="553" ht="20.25" customHeight="1">
      <c r="A553" s="21" t="n"/>
      <c r="B553" s="21" t="n"/>
      <c r="C553" s="21" t="n"/>
      <c r="D553" s="21" t="n"/>
      <c r="F553" s="21" t="n"/>
      <c r="G553" s="21" t="n"/>
      <c r="H553" s="21" t="n"/>
      <c r="I553" s="21" t="n"/>
    </row>
    <row r="554" ht="20.25" customHeight="1">
      <c r="A554" s="14" t="inlineStr">
        <is>
          <t>TOTAL PAYABLE</t>
        </is>
      </c>
      <c r="B554" s="14" t="n"/>
      <c r="C554" s="14" t="n"/>
      <c r="D554" s="21" t="n">
        <v>42300</v>
      </c>
      <c r="F554" s="14" t="inlineStr">
        <is>
          <t>TOTAL PAYABLE</t>
        </is>
      </c>
      <c r="G554" s="14" t="n"/>
      <c r="H554" s="14" t="n"/>
      <c r="I554" s="21" t="n">
        <v>42300</v>
      </c>
    </row>
    <row r="555" ht="16.5" customHeight="1"/>
    <row r="556" ht="20.25" customHeight="1">
      <c r="A556" s="14" t="inlineStr">
        <is>
          <t>NAME</t>
        </is>
      </c>
      <c r="B556" s="14" t="inlineStr">
        <is>
          <t>BABULALJI</t>
        </is>
      </c>
      <c r="C556" s="14" t="inlineStr">
        <is>
          <t>RAMARAM</t>
        </is>
      </c>
      <c r="D556" s="21" t="inlineStr">
        <is>
          <t>2026-01-04</t>
        </is>
      </c>
      <c r="F556" s="14" t="inlineStr">
        <is>
          <t>NAME</t>
        </is>
      </c>
      <c r="G556" s="14" t="inlineStr">
        <is>
          <t>MOHANJI</t>
        </is>
      </c>
      <c r="H556" s="14" t="inlineStr">
        <is>
          <t>AMINPUR</t>
        </is>
      </c>
      <c r="I556" s="21" t="inlineStr">
        <is>
          <t>2026-01-04</t>
        </is>
      </c>
    </row>
    <row r="557" ht="20.25" customHeight="1">
      <c r="A557" s="21" t="inlineStr">
        <is>
          <t>Month</t>
        </is>
      </c>
      <c r="B557" s="21" t="inlineStr">
        <is>
          <t>Plan</t>
        </is>
      </c>
      <c r="C557" s="21" t="inlineStr">
        <is>
          <t>Commission</t>
        </is>
      </c>
      <c r="D557" s="21" t="inlineStr">
        <is>
          <t>Amount</t>
        </is>
      </c>
      <c r="F557" s="21" t="inlineStr">
        <is>
          <t>Month</t>
        </is>
      </c>
      <c r="G557" s="21" t="inlineStr">
        <is>
          <t>Plan</t>
        </is>
      </c>
      <c r="H557" s="21" t="inlineStr">
        <is>
          <t>Commission</t>
        </is>
      </c>
      <c r="I557" s="21" t="inlineStr">
        <is>
          <t>Amount</t>
        </is>
      </c>
    </row>
    <row r="558" ht="20.25" customHeight="1">
      <c r="A558" s="21" t="inlineStr">
        <is>
          <t>4.1</t>
        </is>
      </c>
      <c r="B558" s="21" t="n">
        <v>1000000</v>
      </c>
      <c r="C558" s="21" t="n">
        <v>7700</v>
      </c>
      <c r="D558" s="21" t="n">
        <v>42300</v>
      </c>
      <c r="F558" s="21" t="n">
        <v>4</v>
      </c>
      <c r="G558" s="21" t="n">
        <v>500000</v>
      </c>
      <c r="H558" s="21" t="n">
        <v>3250</v>
      </c>
      <c r="I558" s="21" t="n">
        <v>21750</v>
      </c>
    </row>
    <row r="559" ht="20.25" customHeight="1">
      <c r="A559" s="21" t="n"/>
      <c r="B559" s="21" t="n"/>
      <c r="C559" s="21" t="n"/>
      <c r="D559" s="21" t="n"/>
      <c r="F559" s="21" t="n"/>
      <c r="G559" s="21" t="n"/>
      <c r="H559" s="21" t="n"/>
      <c r="I559" s="21" t="n"/>
    </row>
    <row r="560" ht="20.25" customHeight="1">
      <c r="A560" s="21" t="n"/>
      <c r="B560" s="21" t="n"/>
      <c r="C560" s="21" t="n"/>
      <c r="D560" s="21" t="n"/>
      <c r="F560" s="21" t="n"/>
      <c r="G560" s="21" t="n"/>
      <c r="H560" s="21" t="n"/>
      <c r="I560" s="21" t="n"/>
    </row>
    <row r="561" ht="20.25" customHeight="1">
      <c r="A561" s="21" t="n"/>
      <c r="B561" s="21" t="n"/>
      <c r="C561" s="21" t="n"/>
      <c r="D561" s="21" t="n"/>
      <c r="F561" s="21" t="n"/>
      <c r="G561" s="21" t="n"/>
      <c r="H561" s="21" t="n"/>
      <c r="I561" s="21" t="n"/>
    </row>
    <row r="562" ht="20.25" customHeight="1">
      <c r="A562" s="21" t="n"/>
      <c r="B562" s="21" t="n"/>
      <c r="C562" s="21" t="n"/>
      <c r="D562" s="21" t="n"/>
      <c r="F562" s="21" t="n"/>
      <c r="G562" s="21" t="n"/>
      <c r="H562" s="21" t="n"/>
      <c r="I562" s="21" t="n"/>
    </row>
    <row r="563" ht="20.25" customHeight="1">
      <c r="A563" s="14" t="inlineStr">
        <is>
          <t>TOTAL PAYABLE</t>
        </is>
      </c>
      <c r="B563" s="14" t="n"/>
      <c r="C563" s="14" t="n"/>
      <c r="D563" s="21" t="n">
        <v>42300</v>
      </c>
      <c r="F563" s="14" t="inlineStr">
        <is>
          <t>TOTAL PAYABLE</t>
        </is>
      </c>
      <c r="G563" s="14" t="n"/>
      <c r="H563" s="14" t="n"/>
      <c r="I563" s="21" t="n">
        <v>21750</v>
      </c>
    </row>
    <row r="564" ht="16.5" customHeight="1"/>
    <row r="565" ht="20.25" customHeight="1">
      <c r="A565" s="14" t="inlineStr">
        <is>
          <t>NAME</t>
        </is>
      </c>
      <c r="B565" s="14" t="inlineStr">
        <is>
          <t>PUNAMJI</t>
        </is>
      </c>
      <c r="C565" s="14" t="inlineStr">
        <is>
          <t>BADURPLY</t>
        </is>
      </c>
      <c r="D565" s="21" t="inlineStr">
        <is>
          <t>2026-01-04</t>
        </is>
      </c>
      <c r="F565" s="14" t="inlineStr">
        <is>
          <t>NAME</t>
        </is>
      </c>
      <c r="G565" s="14" t="inlineStr">
        <is>
          <t>NARAYANJI</t>
        </is>
      </c>
      <c r="H565" s="14" t="inlineStr">
        <is>
          <t>KOTLAPUR</t>
        </is>
      </c>
      <c r="I565" s="21" t="inlineStr">
        <is>
          <t>2026-01-04</t>
        </is>
      </c>
    </row>
    <row r="566" ht="20.25" customHeight="1">
      <c r="A566" s="21" t="inlineStr">
        <is>
          <t>Month</t>
        </is>
      </c>
      <c r="B566" s="21" t="inlineStr">
        <is>
          <t>Plan</t>
        </is>
      </c>
      <c r="C566" s="21" t="inlineStr">
        <is>
          <t>Commission</t>
        </is>
      </c>
      <c r="D566" s="21" t="inlineStr">
        <is>
          <t>Amount</t>
        </is>
      </c>
      <c r="F566" s="21" t="inlineStr">
        <is>
          <t>Month</t>
        </is>
      </c>
      <c r="G566" s="21" t="inlineStr">
        <is>
          <t>Plan</t>
        </is>
      </c>
      <c r="H566" s="21" t="inlineStr">
        <is>
          <t>Commission</t>
        </is>
      </c>
      <c r="I566" s="21" t="inlineStr">
        <is>
          <t>Amount</t>
        </is>
      </c>
    </row>
    <row r="567" ht="20.25" customHeight="1">
      <c r="A567" s="21" t="n">
        <v>4</v>
      </c>
      <c r="B567" s="21" t="n">
        <v>500000</v>
      </c>
      <c r="C567" s="21" t="n">
        <v>3250</v>
      </c>
      <c r="D567" s="21" t="n">
        <v>21750</v>
      </c>
      <c r="F567" s="21" t="n">
        <v>4</v>
      </c>
      <c r="G567" s="21" t="n">
        <v>500000</v>
      </c>
      <c r="H567" s="21" t="n">
        <v>3250</v>
      </c>
      <c r="I567" s="21" t="n">
        <v>21750</v>
      </c>
    </row>
    <row r="568" ht="20.25" customHeight="1">
      <c r="A568" s="21" t="n"/>
      <c r="B568" s="21" t="n"/>
      <c r="C568" s="21" t="n"/>
      <c r="D568" s="21" t="n"/>
      <c r="F568" s="21" t="n"/>
      <c r="G568" s="21" t="n"/>
      <c r="H568" s="21" t="n"/>
      <c r="I568" s="21" t="n"/>
    </row>
    <row r="569" ht="20.25" customHeight="1">
      <c r="A569" s="21" t="n"/>
      <c r="B569" s="21" t="n"/>
      <c r="C569" s="21" t="n"/>
      <c r="D569" s="21" t="n"/>
      <c r="F569" s="21" t="n"/>
      <c r="G569" s="21" t="n"/>
      <c r="H569" s="21" t="n"/>
      <c r="I569" s="21" t="n"/>
    </row>
    <row r="570" ht="20.25" customHeight="1">
      <c r="A570" s="21" t="n"/>
      <c r="B570" s="21" t="n"/>
      <c r="C570" s="21" t="n"/>
      <c r="D570" s="21" t="n"/>
      <c r="F570" s="21" t="n"/>
      <c r="G570" s="21" t="n"/>
      <c r="H570" s="21" t="n"/>
      <c r="I570" s="21" t="n"/>
    </row>
    <row r="571" ht="20.25" customHeight="1">
      <c r="A571" s="21" t="n"/>
      <c r="B571" s="21" t="n"/>
      <c r="C571" s="21" t="n"/>
      <c r="D571" s="21" t="n"/>
      <c r="F571" s="21" t="n"/>
      <c r="G571" s="21" t="n"/>
      <c r="H571" s="21" t="n"/>
      <c r="I571" s="21" t="n"/>
    </row>
    <row r="572" ht="20.25" customHeight="1">
      <c r="A572" s="14" t="inlineStr">
        <is>
          <t>TOTAL PAYABLE</t>
        </is>
      </c>
      <c r="B572" s="14" t="n"/>
      <c r="C572" s="14" t="n"/>
      <c r="D572" s="21" t="n">
        <v>21750</v>
      </c>
      <c r="F572" s="14" t="inlineStr">
        <is>
          <t>TOTAL PAYABLE</t>
        </is>
      </c>
      <c r="G572" s="14" t="n"/>
      <c r="H572" s="14" t="n"/>
      <c r="I572" s="21" t="n">
        <v>21750</v>
      </c>
    </row>
    <row r="573" ht="16.5" customHeight="1"/>
    <row r="574" ht="20.25" customHeight="1">
      <c r="A574" s="6" t="n"/>
      <c r="B574" s="6" t="n"/>
      <c r="C574" s="6" t="n"/>
      <c r="D574" s="21" t="n"/>
    </row>
    <row r="575" ht="20.25" customHeight="1">
      <c r="A575" s="21" t="n"/>
      <c r="B575" s="21" t="n"/>
      <c r="C575" s="21" t="n"/>
      <c r="D575" s="21" t="n"/>
    </row>
    <row r="576" ht="20.25" customHeight="1">
      <c r="A576" s="21" t="n"/>
      <c r="B576" s="21" t="n"/>
      <c r="C576" s="21" t="n"/>
      <c r="D576" s="21" t="n"/>
    </row>
    <row r="577" ht="20.25" customHeight="1">
      <c r="A577" s="21" t="n"/>
      <c r="B577" s="21" t="n"/>
      <c r="C577" s="21" t="n"/>
      <c r="D577" s="21" t="n"/>
    </row>
    <row r="578" ht="20.25" customHeight="1">
      <c r="A578" s="21" t="n"/>
      <c r="B578" s="21" t="n"/>
      <c r="C578" s="21" t="n"/>
      <c r="D578" s="21" t="n"/>
    </row>
    <row r="579" ht="20.25" customHeight="1">
      <c r="A579" s="21" t="n"/>
      <c r="B579" s="21" t="n"/>
      <c r="C579" s="21" t="n"/>
      <c r="D579" s="21" t="n"/>
    </row>
    <row r="580" ht="20.25" customHeight="1">
      <c r="A580" s="21" t="n"/>
      <c r="B580" s="21" t="n"/>
      <c r="C580" s="21" t="n"/>
      <c r="D580" s="21" t="n"/>
    </row>
    <row r="581" ht="20.25" customHeight="1">
      <c r="A581" s="13" t="n"/>
      <c r="B581" s="13" t="n"/>
      <c r="C581" s="13" t="n"/>
      <c r="D581" s="21" t="n"/>
    </row>
    <row r="582" ht="15.75" customHeight="1"/>
  </sheetData>
  <pageMargins left="0.27" right="0.12" top="0.35" bottom="0.5" header="0.3" footer="0.3"/>
  <pageSetup orientation="portrait" paperSize="9" scale="10" horizontalDpi="300" verticalDpi="300"/>
  <tableParts count="12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  <tablePart xmlns:r="http://schemas.openxmlformats.org/officeDocument/2006/relationships" r:id="rId46"/>
    <tablePart xmlns:r="http://schemas.openxmlformats.org/officeDocument/2006/relationships" r:id="rId47"/>
    <tablePart xmlns:r="http://schemas.openxmlformats.org/officeDocument/2006/relationships" r:id="rId48"/>
    <tablePart xmlns:r="http://schemas.openxmlformats.org/officeDocument/2006/relationships" r:id="rId49"/>
    <tablePart xmlns:r="http://schemas.openxmlformats.org/officeDocument/2006/relationships" r:id="rId50"/>
    <tablePart xmlns:r="http://schemas.openxmlformats.org/officeDocument/2006/relationships" r:id="rId51"/>
    <tablePart xmlns:r="http://schemas.openxmlformats.org/officeDocument/2006/relationships" r:id="rId52"/>
    <tablePart xmlns:r="http://schemas.openxmlformats.org/officeDocument/2006/relationships" r:id="rId53"/>
    <tablePart xmlns:r="http://schemas.openxmlformats.org/officeDocument/2006/relationships" r:id="rId54"/>
    <tablePart xmlns:r="http://schemas.openxmlformats.org/officeDocument/2006/relationships" r:id="rId55"/>
    <tablePart xmlns:r="http://schemas.openxmlformats.org/officeDocument/2006/relationships" r:id="rId56"/>
    <tablePart xmlns:r="http://schemas.openxmlformats.org/officeDocument/2006/relationships" r:id="rId57"/>
    <tablePart xmlns:r="http://schemas.openxmlformats.org/officeDocument/2006/relationships" r:id="rId58"/>
    <tablePart xmlns:r="http://schemas.openxmlformats.org/officeDocument/2006/relationships" r:id="rId59"/>
    <tablePart xmlns:r="http://schemas.openxmlformats.org/officeDocument/2006/relationships" r:id="rId60"/>
    <tablePart xmlns:r="http://schemas.openxmlformats.org/officeDocument/2006/relationships" r:id="rId61"/>
    <tablePart xmlns:r="http://schemas.openxmlformats.org/officeDocument/2006/relationships" r:id="rId62"/>
    <tablePart xmlns:r="http://schemas.openxmlformats.org/officeDocument/2006/relationships" r:id="rId63"/>
    <tablePart xmlns:r="http://schemas.openxmlformats.org/officeDocument/2006/relationships" r:id="rId64"/>
    <tablePart xmlns:r="http://schemas.openxmlformats.org/officeDocument/2006/relationships" r:id="rId65"/>
    <tablePart xmlns:r="http://schemas.openxmlformats.org/officeDocument/2006/relationships" r:id="rId66"/>
    <tablePart xmlns:r="http://schemas.openxmlformats.org/officeDocument/2006/relationships" r:id="rId67"/>
    <tablePart xmlns:r="http://schemas.openxmlformats.org/officeDocument/2006/relationships" r:id="rId68"/>
    <tablePart xmlns:r="http://schemas.openxmlformats.org/officeDocument/2006/relationships" r:id="rId69"/>
    <tablePart xmlns:r="http://schemas.openxmlformats.org/officeDocument/2006/relationships" r:id="rId70"/>
    <tablePart xmlns:r="http://schemas.openxmlformats.org/officeDocument/2006/relationships" r:id="rId71"/>
    <tablePart xmlns:r="http://schemas.openxmlformats.org/officeDocument/2006/relationships" r:id="rId72"/>
    <tablePart xmlns:r="http://schemas.openxmlformats.org/officeDocument/2006/relationships" r:id="rId73"/>
    <tablePart xmlns:r="http://schemas.openxmlformats.org/officeDocument/2006/relationships" r:id="rId74"/>
    <tablePart xmlns:r="http://schemas.openxmlformats.org/officeDocument/2006/relationships" r:id="rId75"/>
    <tablePart xmlns:r="http://schemas.openxmlformats.org/officeDocument/2006/relationships" r:id="rId76"/>
    <tablePart xmlns:r="http://schemas.openxmlformats.org/officeDocument/2006/relationships" r:id="rId77"/>
    <tablePart xmlns:r="http://schemas.openxmlformats.org/officeDocument/2006/relationships" r:id="rId78"/>
    <tablePart xmlns:r="http://schemas.openxmlformats.org/officeDocument/2006/relationships" r:id="rId79"/>
    <tablePart xmlns:r="http://schemas.openxmlformats.org/officeDocument/2006/relationships" r:id="rId80"/>
    <tablePart xmlns:r="http://schemas.openxmlformats.org/officeDocument/2006/relationships" r:id="rId81"/>
    <tablePart xmlns:r="http://schemas.openxmlformats.org/officeDocument/2006/relationships" r:id="rId82"/>
    <tablePart xmlns:r="http://schemas.openxmlformats.org/officeDocument/2006/relationships" r:id="rId83"/>
    <tablePart xmlns:r="http://schemas.openxmlformats.org/officeDocument/2006/relationships" r:id="rId84"/>
    <tablePart xmlns:r="http://schemas.openxmlformats.org/officeDocument/2006/relationships" r:id="rId85"/>
    <tablePart xmlns:r="http://schemas.openxmlformats.org/officeDocument/2006/relationships" r:id="rId86"/>
    <tablePart xmlns:r="http://schemas.openxmlformats.org/officeDocument/2006/relationships" r:id="rId87"/>
    <tablePart xmlns:r="http://schemas.openxmlformats.org/officeDocument/2006/relationships" r:id="rId88"/>
    <tablePart xmlns:r="http://schemas.openxmlformats.org/officeDocument/2006/relationships" r:id="rId89"/>
    <tablePart xmlns:r="http://schemas.openxmlformats.org/officeDocument/2006/relationships" r:id="rId90"/>
    <tablePart xmlns:r="http://schemas.openxmlformats.org/officeDocument/2006/relationships" r:id="rId91"/>
    <tablePart xmlns:r="http://schemas.openxmlformats.org/officeDocument/2006/relationships" r:id="rId92"/>
    <tablePart xmlns:r="http://schemas.openxmlformats.org/officeDocument/2006/relationships" r:id="rId93"/>
    <tablePart xmlns:r="http://schemas.openxmlformats.org/officeDocument/2006/relationships" r:id="rId94"/>
    <tablePart xmlns:r="http://schemas.openxmlformats.org/officeDocument/2006/relationships" r:id="rId95"/>
    <tablePart xmlns:r="http://schemas.openxmlformats.org/officeDocument/2006/relationships" r:id="rId96"/>
    <tablePart xmlns:r="http://schemas.openxmlformats.org/officeDocument/2006/relationships" r:id="rId97"/>
    <tablePart xmlns:r="http://schemas.openxmlformats.org/officeDocument/2006/relationships" r:id="rId98"/>
    <tablePart xmlns:r="http://schemas.openxmlformats.org/officeDocument/2006/relationships" r:id="rId99"/>
    <tablePart xmlns:r="http://schemas.openxmlformats.org/officeDocument/2006/relationships" r:id="rId100"/>
    <tablePart xmlns:r="http://schemas.openxmlformats.org/officeDocument/2006/relationships" r:id="rId101"/>
    <tablePart xmlns:r="http://schemas.openxmlformats.org/officeDocument/2006/relationships" r:id="rId102"/>
    <tablePart xmlns:r="http://schemas.openxmlformats.org/officeDocument/2006/relationships" r:id="rId103"/>
    <tablePart xmlns:r="http://schemas.openxmlformats.org/officeDocument/2006/relationships" r:id="rId104"/>
    <tablePart xmlns:r="http://schemas.openxmlformats.org/officeDocument/2006/relationships" r:id="rId105"/>
    <tablePart xmlns:r="http://schemas.openxmlformats.org/officeDocument/2006/relationships" r:id="rId106"/>
    <tablePart xmlns:r="http://schemas.openxmlformats.org/officeDocument/2006/relationships" r:id="rId107"/>
    <tablePart xmlns:r="http://schemas.openxmlformats.org/officeDocument/2006/relationships" r:id="rId108"/>
    <tablePart xmlns:r="http://schemas.openxmlformats.org/officeDocument/2006/relationships" r:id="rId109"/>
    <tablePart xmlns:r="http://schemas.openxmlformats.org/officeDocument/2006/relationships" r:id="rId110"/>
    <tablePart xmlns:r="http://schemas.openxmlformats.org/officeDocument/2006/relationships" r:id="rId111"/>
    <tablePart xmlns:r="http://schemas.openxmlformats.org/officeDocument/2006/relationships" r:id="rId112"/>
    <tablePart xmlns:r="http://schemas.openxmlformats.org/officeDocument/2006/relationships" r:id="rId113"/>
    <tablePart xmlns:r="http://schemas.openxmlformats.org/officeDocument/2006/relationships" r:id="rId114"/>
    <tablePart xmlns:r="http://schemas.openxmlformats.org/officeDocument/2006/relationships" r:id="rId115"/>
    <tablePart xmlns:r="http://schemas.openxmlformats.org/officeDocument/2006/relationships" r:id="rId116"/>
    <tablePart xmlns:r="http://schemas.openxmlformats.org/officeDocument/2006/relationships" r:id="rId117"/>
    <tablePart xmlns:r="http://schemas.openxmlformats.org/officeDocument/2006/relationships" r:id="rId118"/>
    <tablePart xmlns:r="http://schemas.openxmlformats.org/officeDocument/2006/relationships" r:id="rId119"/>
    <tablePart xmlns:r="http://schemas.openxmlformats.org/officeDocument/2006/relationships" r:id="rId120"/>
    <tablePart xmlns:r="http://schemas.openxmlformats.org/officeDocument/2006/relationships" r:id="rId121"/>
    <tablePart xmlns:r="http://schemas.openxmlformats.org/officeDocument/2006/relationships" r:id="rId122"/>
    <tablePart xmlns:r="http://schemas.openxmlformats.org/officeDocument/2006/relationships" r:id="rId123"/>
    <tablePart xmlns:r="http://schemas.openxmlformats.org/officeDocument/2006/relationships" r:id="rId124"/>
    <tablePart xmlns:r="http://schemas.openxmlformats.org/officeDocument/2006/relationships" r:id="rId12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2025-12-14T07:50:07Z</dcterms:created>
  <dcterms:modified xsi:type="dcterms:W3CDTF">2026-01-14T04:47:48Z</dcterms:modified>
  <cp:lastModifiedBy>pc</cp:lastModifiedBy>
  <cp:lastPrinted>2026-01-04T08:30:58Z</cp:lastPrinted>
</cp:coreProperties>
</file>